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tocks" sheetId="1" r:id="rId5"/>
  </sheets>
  <definedNames>
    <definedName hidden="1" localSheetId="0" name="_xlnm._FilterDatabase">All_Stocks!$A$1:$CZ$64</definedName>
  </definedNames>
  <calcPr/>
</workbook>
</file>

<file path=xl/sharedStrings.xml><?xml version="1.0" encoding="utf-8"?>
<sst xmlns="http://schemas.openxmlformats.org/spreadsheetml/2006/main" count="878" uniqueCount="571">
  <si>
    <t>Ticker</t>
  </si>
  <si>
    <t>Name</t>
  </si>
  <si>
    <t>rank</t>
  </si>
  <si>
    <t>Theme</t>
  </si>
  <si>
    <t>Market</t>
  </si>
  <si>
    <t>Conviction</t>
  </si>
  <si>
    <t>Upside</t>
  </si>
  <si>
    <t>Risk</t>
  </si>
  <si>
    <t>Mcap</t>
  </si>
  <si>
    <t>Sector</t>
  </si>
  <si>
    <t>Listed Date</t>
  </si>
  <si>
    <t>Current Price</t>
  </si>
  <si>
    <t>Distance From 52W High</t>
  </si>
  <si>
    <t>Management Score</t>
  </si>
  <si>
    <t>Innovation Score</t>
  </si>
  <si>
    <t>Demand Score</t>
  </si>
  <si>
    <t>Business Score</t>
  </si>
  <si>
    <t>Mispricing Score</t>
  </si>
  <si>
    <t>Source_File</t>
  </si>
  <si>
    <t>Revenue</t>
  </si>
  <si>
    <t>Gm</t>
  </si>
  <si>
    <t>Employees</t>
  </si>
  <si>
    <t>Margin</t>
  </si>
  <si>
    <t>Backlog</t>
  </si>
  <si>
    <t>Fcf</t>
  </si>
  <si>
    <t>Pe</t>
  </si>
  <si>
    <t>Growth</t>
  </si>
  <si>
    <t>Qubits</t>
  </si>
  <si>
    <t>Target</t>
  </si>
  <si>
    <t>Io</t>
  </si>
  <si>
    <t>Softbank</t>
  </si>
  <si>
    <t>Patients</t>
  </si>
  <si>
    <t>Coverage</t>
  </si>
  <si>
    <t>Cash</t>
  </si>
  <si>
    <t>Runway</t>
  </si>
  <si>
    <t>Ceo</t>
  </si>
  <si>
    <t>Stage</t>
  </si>
  <si>
    <t>Platform</t>
  </si>
  <si>
    <t>Roe</t>
  </si>
  <si>
    <t>Orders</t>
  </si>
  <si>
    <t>Orderbook</t>
  </si>
  <si>
    <t>Fy28</t>
  </si>
  <si>
    <t>Subsidy</t>
  </si>
  <si>
    <t>Gofood</t>
  </si>
  <si>
    <t>Blinkit</t>
  </si>
  <si>
    <t>Profit</t>
  </si>
  <si>
    <t>Exports</t>
  </si>
  <si>
    <t>Demat</t>
  </si>
  <si>
    <t>Monopoly</t>
  </si>
  <si>
    <t>Asset</t>
  </si>
  <si>
    <t>Reactors</t>
  </si>
  <si>
    <t>Ppa Deal</t>
  </si>
  <si>
    <t>Ppa Customer</t>
  </si>
  <si>
    <t>Users</t>
  </si>
  <si>
    <t>Subs</t>
  </si>
  <si>
    <t>Dau Growth</t>
  </si>
  <si>
    <t>Large Cust</t>
  </si>
  <si>
    <t>Dnr</t>
  </si>
  <si>
    <t>Margin Exp</t>
  </si>
  <si>
    <t>Partner</t>
  </si>
  <si>
    <t>Neutron Launch</t>
  </si>
  <si>
    <t>Profit Growth</t>
  </si>
  <si>
    <t>Roce</t>
  </si>
  <si>
    <t>New Order</t>
  </si>
  <si>
    <t>Export</t>
  </si>
  <si>
    <t>Stores</t>
  </si>
  <si>
    <t>Sssg</t>
  </si>
  <si>
    <t>Pat Margin</t>
  </si>
  <si>
    <t>Order Book</t>
  </si>
  <si>
    <t>Pat Growth</t>
  </si>
  <si>
    <t>Product</t>
  </si>
  <si>
    <t>Pat Pipeline</t>
  </si>
  <si>
    <t>Consumables Growth</t>
  </si>
  <si>
    <t>Gross Margin</t>
  </si>
  <si>
    <t>Contracts</t>
  </si>
  <si>
    <t>Organic Growth</t>
  </si>
  <si>
    <t>Adj Eps</t>
  </si>
  <si>
    <t>Burn</t>
  </si>
  <si>
    <t>Partners</t>
  </si>
  <si>
    <t>Missions</t>
  </si>
  <si>
    <t>Ipo</t>
  </si>
  <si>
    <t>Launch</t>
  </si>
  <si>
    <t>Model</t>
  </si>
  <si>
    <t>Theme Metric</t>
  </si>
  <si>
    <t>Segment</t>
  </si>
  <si>
    <t>Catalyst</t>
  </si>
  <si>
    <t>Guide</t>
  </si>
  <si>
    <t>Revenue Mix</t>
  </si>
  <si>
    <t>Note</t>
  </si>
  <si>
    <t>Customers</t>
  </si>
  <si>
    <t>Power</t>
  </si>
  <si>
    <t>Volatility</t>
  </si>
  <si>
    <t>End Market</t>
  </si>
  <si>
    <t>Cyclicality</t>
  </si>
  <si>
    <t>Policy</t>
  </si>
  <si>
    <t>Revenue Fy26</t>
  </si>
  <si>
    <t>Tailwind</t>
  </si>
  <si>
    <t>Listing</t>
  </si>
  <si>
    <t>Customer</t>
  </si>
  <si>
    <t>Moat</t>
  </si>
  <si>
    <t>Return 2026</t>
  </si>
  <si>
    <t>52W High</t>
  </si>
  <si>
    <t>ACCELYA</t>
  </si>
  <si>
    <t>Accelya Solutions India</t>
  </si>
  <si>
    <t>IT/Aviation</t>
  </si>
  <si>
    <t>india</t>
  </si>
  <si>
    <t>250%</t>
  </si>
  <si>
    <t>MEDIUM</t>
  </si>
  <si>
    <t>₹2500cr</t>
  </si>
  <si>
    <t>IT Software</t>
  </si>
  <si>
    <t>1986-01-01</t>
  </si>
  <si>
    <t>Alpha-Machine-Multibagger-Dashboard-v3(1).html</t>
  </si>
  <si>
    <t>₹500cr</t>
  </si>
  <si>
    <t>Slowdown</t>
  </si>
  <si>
    <t>AEHR</t>
  </si>
  <si>
    <t>Aehr Test Systems</t>
  </si>
  <si>
    <t>Semi Test</t>
  </si>
  <si>
    <t>us</t>
  </si>
  <si>
    <t>220%</t>
  </si>
  <si>
    <t>~$600M</t>
  </si>
  <si>
    <t>Semiconductors</t>
  </si>
  <si>
    <t>1997-08-15</t>
  </si>
  <si>
    <t>Alpha-Machine-Multibagger-Dashboard-v4.html</t>
  </si>
  <si>
    <t>Wafer-level burn-in</t>
  </si>
  <si>
    <t>SiC / AI chips</t>
  </si>
  <si>
    <t>Semi capex</t>
  </si>
  <si>
    <t>ALAB</t>
  </si>
  <si>
    <t>Astera Labs</t>
  </si>
  <si>
    <t>AI Infrastructure</t>
  </si>
  <si>
    <t>300%</t>
  </si>
  <si>
    <t>$8.2B</t>
  </si>
  <si>
    <t>2024-03-20</t>
  </si>
  <si>
    <t>Alpha-Machine-Multibagger-Dashboard.html</t>
  </si>
  <si>
    <t>$398M</t>
  </si>
  <si>
    <t>~70%</t>
  </si>
  <si>
    <t>350</t>
  </si>
  <si>
    <t>AI/Compute</t>
  </si>
  <si>
    <t>280%</t>
  </si>
  <si>
    <t>$12B</t>
  </si>
  <si>
    <t>$500M</t>
  </si>
  <si>
    <t>+120%</t>
  </si>
  <si>
    <t>75%</t>
  </si>
  <si>
    <t>ALMU</t>
  </si>
  <si>
    <t>Aeluma</t>
  </si>
  <si>
    <t>450%</t>
  </si>
  <si>
    <t>HIGH</t>
  </si>
  <si>
    <t>$575M</t>
  </si>
  <si>
    <t>Technology</t>
  </si>
  <si>
    <t>2022-11-16</t>
  </si>
  <si>
    <t>Alpha-Machine-Multibagger-Dashboard-v2.html</t>
  </si>
  <si>
    <t>$4.6M</t>
  </si>
  <si>
    <t>$37.8M</t>
  </si>
  <si>
    <t>$5M</t>
  </si>
  <si>
    <t>AMCI</t>
  </si>
  <si>
    <t>AMC Robotics</t>
  </si>
  <si>
    <t>Robotics</t>
  </si>
  <si>
    <t>600%</t>
  </si>
  <si>
    <t>$400M</t>
  </si>
  <si>
    <t>2021-01-01</t>
  </si>
  <si>
    <t>$0</t>
  </si>
  <si>
    <t>SPAC</t>
  </si>
  <si>
    <t>2026</t>
  </si>
  <si>
    <t>ASTS</t>
  </si>
  <si>
    <t>AST SpaceMobile</t>
  </si>
  <si>
    <t>Space</t>
  </si>
  <si>
    <t>500%</t>
  </si>
  <si>
    <t>$1.5B</t>
  </si>
  <si>
    <t>Aerospace</t>
  </si>
  <si>
    <t>2021-04-06</t>
  </si>
  <si>
    <t>$1B+</t>
  </si>
  <si>
    <t>AT&amp;T, Voda</t>
  </si>
  <si>
    <t>AXTI</t>
  </si>
  <si>
    <t>AXT Inc</t>
  </si>
  <si>
    <t>Optical/AI</t>
  </si>
  <si>
    <t>320%</t>
  </si>
  <si>
    <t>~$2.5B</t>
  </si>
  <si>
    <t>1998-05-21</t>
  </si>
  <si>
    <t>Capacity 2x by 2026</t>
  </si>
  <si>
    <t>InP backlog $60M+</t>
  </si>
  <si>
    <t>AI optical</t>
  </si>
  <si>
    <t>BEAM</t>
  </si>
  <si>
    <t>Beam Therapeutics</t>
  </si>
  <si>
    <t>Gene Editing</t>
  </si>
  <si>
    <t>350%</t>
  </si>
  <si>
    <t>VERY HIGH</t>
  </si>
  <si>
    <t>$1.8B</t>
  </si>
  <si>
    <t>Healthcare/Biotech</t>
  </si>
  <si>
    <t>2020-02-06</t>
  </si>
  <si>
    <t>Pre-comm</t>
  </si>
  <si>
    <t>BASE</t>
  </si>
  <si>
    <t>BONDADA</t>
  </si>
  <si>
    <t>Bondada Engineering</t>
  </si>
  <si>
    <t>Renewables EPC</t>
  </si>
  <si>
    <t>180%</t>
  </si>
  <si>
    <t>Mid/small</t>
  </si>
  <si>
    <t>Infrastructure</t>
  </si>
  <si>
    <t>2023-01-01</t>
  </si>
  <si>
    <t>+153% YoY</t>
  </si>
  <si>
    <t>₹5,989cr</t>
  </si>
  <si>
    <t>₹1,217cr</t>
  </si>
  <si>
    <t>CDSL</t>
  </si>
  <si>
    <t>Central Depository</t>
  </si>
  <si>
    <t>India Financial</t>
  </si>
  <si>
    <t>100%</t>
  </si>
  <si>
    <t>LOW</t>
  </si>
  <si>
    <t>₹15,800cr</t>
  </si>
  <si>
    <t>Professional Services</t>
  </si>
  <si>
    <t>2017-06-30</t>
  </si>
  <si>
    <t>+33%</t>
  </si>
  <si>
    <t>12cr+ accounts</t>
  </si>
  <si>
    <t xml:space="preserve"> duopoly</t>
  </si>
  <si>
    <t>CEG</t>
  </si>
  <si>
    <t>Constellation Energy</t>
  </si>
  <si>
    <t>Nuclear Power</t>
  </si>
  <si>
    <t>~$70B</t>
  </si>
  <si>
    <t>Renewable Energy</t>
  </si>
  <si>
    <t>2022-01-01</t>
  </si>
  <si>
    <t>21</t>
  </si>
  <si>
    <t>$110+/MWh</t>
  </si>
  <si>
    <t>CyrusOne</t>
  </si>
  <si>
    <t>CONNPLEX</t>
  </si>
  <si>
    <t>Connplex Cinemas</t>
  </si>
  <si>
    <t>High</t>
  </si>
  <si>
    <t>Entertainment</t>
  </si>
  <si>
    <t>₹200cr</t>
  </si>
  <si>
    <t>2024-01-01</t>
  </si>
  <si>
    <t>₹50cr</t>
  </si>
  <si>
    <t>Franchise</t>
  </si>
  <si>
    <t>CRDO</t>
  </si>
  <si>
    <t>Credo Technology</t>
  </si>
  <si>
    <t>200%</t>
  </si>
  <si>
    <t>~$8B</t>
  </si>
  <si>
    <t>2022-01-27</t>
  </si>
  <si>
    <t>Hyper-growth</t>
  </si>
  <si>
    <t>High-speed SerDes</t>
  </si>
  <si>
    <t>Hyperscaler/OEM</t>
  </si>
  <si>
    <t>CRSP</t>
  </si>
  <si>
    <t>CRISPR Therapeutics</t>
  </si>
  <si>
    <t>MED-HIGH</t>
  </si>
  <si>
    <t>$9.5B</t>
  </si>
  <si>
    <t>2016-10-19</t>
  </si>
  <si>
    <t>$116M</t>
  </si>
  <si>
    <t>500+</t>
  </si>
  <si>
    <t>90%</t>
  </si>
  <si>
    <t>Genomics</t>
  </si>
  <si>
    <t>$4.5B</t>
  </si>
  <si>
    <t>$2.44B</t>
  </si>
  <si>
    <t>CASGEVY</t>
  </si>
  <si>
    <t>DATAPATTNS</t>
  </si>
  <si>
    <t>Data Patterns</t>
  </si>
  <si>
    <t>Defense Electronics</t>
  </si>
  <si>
    <t>₹8,500cr</t>
  </si>
  <si>
    <t>Aerospace &amp; Defense</t>
  </si>
  <si>
    <t>2021-12-24</t>
  </si>
  <si>
    <t>₹2000cr+</t>
  </si>
  <si>
    <t>+21%</t>
  </si>
  <si>
    <t>20.8%</t>
  </si>
  <si>
    <t>DUOL</t>
  </si>
  <si>
    <t>Duolingo</t>
  </si>
  <si>
    <t>AI-Native Consumer</t>
  </si>
  <si>
    <t>150%</t>
  </si>
  <si>
    <t>$18B</t>
  </si>
  <si>
    <t>Technology/Education</t>
  </si>
  <si>
    <t>2021-07-28</t>
  </si>
  <si>
    <t>100M+</t>
  </si>
  <si>
    <t>8M+</t>
  </si>
  <si>
    <t>IDEAFORGE</t>
  </si>
  <si>
    <t>ideaForge Technology</t>
  </si>
  <si>
    <t>Defense/Drones</t>
  </si>
  <si>
    <t>Mid-cap</t>
  </si>
  <si>
    <t>2023-01-02</t>
  </si>
  <si>
    <t>UAV systems</t>
  </si>
  <si>
    <t>Defense/Paramilitary</t>
  </si>
  <si>
    <t>Indigenous IP</t>
  </si>
  <si>
    <t>IONQ</t>
  </si>
  <si>
    <t>IonQ Inc.</t>
  </si>
  <si>
    <t>Speculative High-Alpha</t>
  </si>
  <si>
    <t>Quantum Computing</t>
  </si>
  <si>
    <t>400%</t>
  </si>
  <si>
    <t>$2.8B</t>
  </si>
  <si>
    <t>2021-01-04</t>
  </si>
  <si>
    <t>$65M/run</t>
  </si>
  <si>
    <t>+755%</t>
  </si>
  <si>
    <t>256</t>
  </si>
  <si>
    <t>IREN</t>
  </si>
  <si>
    <t>IREN (Iris Energy)</t>
  </si>
  <si>
    <t>AI Power</t>
  </si>
  <si>
    <t>~$3B</t>
  </si>
  <si>
    <t>Finance/Data Centers</t>
  </si>
  <si>
    <t>2021-11-17</t>
  </si>
  <si>
    <t>BTC + AI HPC</t>
  </si>
  <si>
    <t>Renewable sites</t>
  </si>
  <si>
    <t>High beta</t>
  </si>
  <si>
    <t>JYOTIRES</t>
  </si>
  <si>
    <t>Jyoti Resins &amp; Adhesives</t>
  </si>
  <si>
    <t>Specialty Chemicals</t>
  </si>
  <si>
    <t>₹1500cr</t>
  </si>
  <si>
    <t>Chemicals</t>
  </si>
  <si>
    <t>1994-01-01</t>
  </si>
  <si>
    <t>₹250cr</t>
  </si>
  <si>
    <t>70%</t>
  </si>
  <si>
    <t>KAYNES</t>
  </si>
  <si>
    <t>Kaynes Technology</t>
  </si>
  <si>
    <t>India Manufacturing</t>
  </si>
  <si>
    <t>₹14,500cr</t>
  </si>
  <si>
    <t>EMS/Consumer Durables</t>
  </si>
  <si>
    <t>2022-03-31</t>
  </si>
  <si>
    <t>₹6,800cr</t>
  </si>
  <si>
    <t>₹2,500cr</t>
  </si>
  <si>
    <t>50%</t>
  </si>
  <si>
    <t>LITE</t>
  </si>
  <si>
    <t>Lumentum Holdings</t>
  </si>
  <si>
    <t>Photonics / Optics</t>
  </si>
  <si>
    <t>120%</t>
  </si>
  <si>
    <t>$6B</t>
  </si>
  <si>
    <t>2015-02-10</t>
  </si>
  <si>
    <t>+58%</t>
  </si>
  <si>
    <t>+1200bps</t>
  </si>
  <si>
    <t>NVIDIA</t>
  </si>
  <si>
    <t>LUNR</t>
  </si>
  <si>
    <t>Intuitive Machines</t>
  </si>
  <si>
    <t>$1B</t>
  </si>
  <si>
    <t>2023-02-14</t>
  </si>
  <si>
    <t>$200M</t>
  </si>
  <si>
    <t>3+</t>
  </si>
  <si>
    <t>MTAR</t>
  </si>
  <si>
    <t>MTAR Technologies</t>
  </si>
  <si>
    <t>Precision Engineering</t>
  </si>
  <si>
    <t>₹6,000cr</t>
  </si>
  <si>
    <t>Industrials</t>
  </si>
  <si>
    <t>2021-03-15</t>
  </si>
  <si>
    <t>+67%</t>
  </si>
  <si>
    <t>+223%</t>
  </si>
  <si>
    <t>$239M</t>
  </si>
  <si>
    <t>₹19,914cr</t>
  </si>
  <si>
    <t>₹876cr</t>
  </si>
  <si>
    <t>10.7%</t>
  </si>
  <si>
    <t>₹2,582cr</t>
  </si>
  <si>
    <t>MXL</t>
  </si>
  <si>
    <t>MaxLinear</t>
  </si>
  <si>
    <t>Connectivity</t>
  </si>
  <si>
    <t>2010-03-24</t>
  </si>
  <si>
    <t>Infra +136% YoY</t>
  </si>
  <si>
    <t>Keystone</t>
  </si>
  <si>
    <t>Q2 $160-170M</t>
  </si>
  <si>
    <t>NET</t>
  </si>
  <si>
    <t>Cloudflare</t>
  </si>
  <si>
    <t>Edge Compute</t>
  </si>
  <si>
    <t>$42B</t>
  </si>
  <si>
    <t>2019-09-13</t>
  </si>
  <si>
    <t>+34%</t>
  </si>
  <si>
    <t>+38%</t>
  </si>
  <si>
    <t>118%</t>
  </si>
  <si>
    <t>NETWEB</t>
  </si>
  <si>
    <t>Netweb Technologies</t>
  </si>
  <si>
    <t>₹3,800cr</t>
  </si>
  <si>
    <t>IT Hardware</t>
  </si>
  <si>
    <t>2023-07-27</t>
  </si>
  <si>
    <t>₹734cr</t>
  </si>
  <si>
    <t>34%</t>
  </si>
  <si>
    <t>₹2,184cr</t>
  </si>
  <si>
    <t>₹2,183cr</t>
  </si>
  <si>
    <t>₹4,431cr</t>
  </si>
  <si>
    <t>+81%</t>
  </si>
  <si>
    <t>NTLA</t>
  </si>
  <si>
    <t>Intellia Therapeutics</t>
  </si>
  <si>
    <t>$3.2B</t>
  </si>
  <si>
    <t>2016-05-06</t>
  </si>
  <si>
    <t>2027</t>
  </si>
  <si>
    <t>86/100</t>
  </si>
  <si>
    <t>OKLO</t>
  </si>
  <si>
    <t>Oklo Inc</t>
  </si>
  <si>
    <t>AI baseload power</t>
  </si>
  <si>
    <t>~$4B</t>
  </si>
  <si>
    <t>Energy</t>
  </si>
  <si>
    <t>2024-05-10</t>
  </si>
  <si>
    <t>Pre-commercial</t>
  </si>
  <si>
    <t>SMR licenses</t>
  </si>
  <si>
    <t>ONEGLOBAL</t>
  </si>
  <si>
    <t>One Global Service Provider</t>
  </si>
  <si>
    <t>Healthcare/Digital</t>
  </si>
  <si>
    <t>2015-01-01</t>
  </si>
  <si>
    <t>₹150cr</t>
  </si>
  <si>
    <t>Strong</t>
  </si>
  <si>
    <t>OWAIS</t>
  </si>
  <si>
    <t>Owais Metal and Mineral</t>
  </si>
  <si>
    <t>Metals</t>
  </si>
  <si>
    <t>₹350cr</t>
  </si>
  <si>
    <t>Mining</t>
  </si>
  <si>
    <t>₹100cr</t>
  </si>
  <si>
    <t>Explosive</t>
  </si>
  <si>
    <t>PGEL</t>
  </si>
  <si>
    <t>PG Electroplast</t>
  </si>
  <si>
    <t>PLI / Make in India</t>
  </si>
  <si>
    <t>140%</t>
  </si>
  <si>
    <t>Consumer Durables</t>
  </si>
  <si>
    <t>2011-01-01</t>
  </si>
  <si>
    <t>EMS/Plastics</t>
  </si>
  <si>
    <t>Consumer electronics</t>
  </si>
  <si>
    <t>PIIND</t>
  </si>
  <si>
    <t>PI Industries</t>
  </si>
  <si>
    <t>₹62,000cr</t>
  </si>
  <si>
    <t>1946-01-01</t>
  </si>
  <si>
    <t>₹7,500cr</t>
  </si>
  <si>
    <t>18%</t>
  </si>
  <si>
    <t>55%</t>
  </si>
  <si>
    <t>PLTR</t>
  </si>
  <si>
    <t>Palantir Technologies</t>
  </si>
  <si>
    <t>$165B</t>
  </si>
  <si>
    <t>2020-09-30</t>
  </si>
  <si>
    <t>$2.1B</t>
  </si>
  <si>
    <t>150x+</t>
  </si>
  <si>
    <t>PRCT</t>
  </si>
  <si>
    <t>PROCEPT BioRobotics</t>
  </si>
  <si>
    <t>Healthcare</t>
  </si>
  <si>
    <t>2021-09-15</t>
  </si>
  <si>
    <t>$250M</t>
  </si>
  <si>
    <t>+37%</t>
  </si>
  <si>
    <t>64%</t>
  </si>
  <si>
    <t>PREMIERENE</t>
  </si>
  <si>
    <t>Premier Energies</t>
  </si>
  <si>
    <t>Solar</t>
  </si>
  <si>
    <t>160%</t>
  </si>
  <si>
    <t>Listed 2024</t>
  </si>
  <si>
    <t>Capital Goods</t>
  </si>
  <si>
    <t>2024-09-03</t>
  </si>
  <si>
    <t>Solar cells/modules</t>
  </si>
  <si>
    <t>Domestic content</t>
  </si>
  <si>
    <t>NSE/BSE</t>
  </si>
  <si>
    <t>RKLB</t>
  </si>
  <si>
    <t>Rocket Lab</t>
  </si>
  <si>
    <t>Space Platform</t>
  </si>
  <si>
    <t>$14B</t>
  </si>
  <si>
    <t>2021-08-25</t>
  </si>
  <si>
    <t>$2.2B+</t>
  </si>
  <si>
    <t>+63.5%</t>
  </si>
  <si>
    <t>$8.5B</t>
  </si>
  <si>
    <t>$2.2B</t>
  </si>
  <si>
    <t>43%</t>
  </si>
  <si>
    <t>RPPL</t>
  </si>
  <si>
    <t>Rashi Peripherals</t>
  </si>
  <si>
    <t>₹3,500cr</t>
  </si>
  <si>
    <t>Plastic Products</t>
  </si>
  <si>
    <t>2018-01-01</t>
  </si>
  <si>
    <t>₹13,772cr</t>
  </si>
  <si>
    <t>1.93%</t>
  </si>
  <si>
    <t>+64%</t>
  </si>
  <si>
    <t>SAFE</t>
  </si>
  <si>
    <t>Safe Enterprises</t>
  </si>
  <si>
    <t>Industrial Safety</t>
  </si>
  <si>
    <t>₹400cr</t>
  </si>
  <si>
    <t>Commercial Services</t>
  </si>
  <si>
    <t>2025-06-01</t>
  </si>
  <si>
    <t>N/A</t>
  </si>
  <si>
    <t>B2B Safety Solutions</t>
  </si>
  <si>
    <t>SIMO</t>
  </si>
  <si>
    <t>Silicon Motion Technology</t>
  </si>
  <si>
    <t>Memory/AI</t>
  </si>
  <si>
    <t>2005-06-21</t>
  </si>
  <si>
    <t>Q1 ~$343M</t>
  </si>
  <si>
    <t>+105% YoY</t>
  </si>
  <si>
    <t>NAND controllers</t>
  </si>
  <si>
    <t>SNDK</t>
  </si>
  <si>
    <t>SanDisk (post spin-off)</t>
  </si>
  <si>
    <t>Storage/AI</t>
  </si>
  <si>
    <t>Large-cap</t>
  </si>
  <si>
    <t>1995-11-01</t>
  </si>
  <si>
    <t>NAND / AI SSD</t>
  </si>
  <si>
    <t>~55% enterprise</t>
  </si>
  <si>
    <t>Post-WDC spin</t>
  </si>
  <si>
    <t>SOUN</t>
  </si>
  <si>
    <t>SoundHound AI</t>
  </si>
  <si>
    <t>AI/Voice</t>
  </si>
  <si>
    <t>380%</t>
  </si>
  <si>
    <t>$1.2B</t>
  </si>
  <si>
    <t>$50M</t>
  </si>
  <si>
    <t>$300M+</t>
  </si>
  <si>
    <t>+50%</t>
  </si>
  <si>
    <t>SYM</t>
  </si>
  <si>
    <t>Symbotic Inc.</t>
  </si>
  <si>
    <t>Robotics/Automation</t>
  </si>
  <si>
    <t>$38B</t>
  </si>
  <si>
    <t>2020-06-01</t>
  </si>
  <si>
    <t>$62.50</t>
  </si>
  <si>
    <t>99.5%</t>
  </si>
  <si>
    <t>31.7%</t>
  </si>
  <si>
    <t>SYRMA</t>
  </si>
  <si>
    <t>Syrma SGS Technology</t>
  </si>
  <si>
    <t>₹9,200cr</t>
  </si>
  <si>
    <t>EMS/Technology</t>
  </si>
  <si>
    <t>2022-08-26</t>
  </si>
  <si>
    <t>₹4,819cr</t>
  </si>
  <si>
    <t>+87%</t>
  </si>
  <si>
    <t>41%</t>
  </si>
  <si>
    <t>TARIL</t>
  </si>
  <si>
    <t>Transformers and Rectifiers (India)</t>
  </si>
  <si>
    <t>Electrification</t>
  </si>
  <si>
    <t>170%</t>
  </si>
  <si>
    <t>Electrical Equipment</t>
  </si>
  <si>
    <t>2007-12-28</t>
  </si>
  <si>
    <t>Transformers</t>
  </si>
  <si>
    <t>Grid + data centers</t>
  </si>
  <si>
    <t>TRENT</t>
  </si>
  <si>
    <t>Trent Ltd (Zudio)</t>
  </si>
  <si>
    <t>Value Retail</t>
  </si>
  <si>
    <t>₹1.7L cr</t>
  </si>
  <si>
    <t>Retail</t>
  </si>
  <si>
    <t>1952-01-01</t>
  </si>
  <si>
    <t>30%+</t>
  </si>
  <si>
    <t>700+</t>
  </si>
  <si>
    <t>High teens</t>
  </si>
  <si>
    <t>TXG</t>
  </si>
  <si>
    <t>10x Genomics</t>
  </si>
  <si>
    <t>$5.5B</t>
  </si>
  <si>
    <t>2019-09-12</t>
  </si>
  <si>
    <t>$625M</t>
  </si>
  <si>
    <t>+31%</t>
  </si>
  <si>
    <t>VKTX</t>
  </si>
  <si>
    <t>Viking Therapeutics</t>
  </si>
  <si>
    <t>GLP-1 / Biotech</t>
  </si>
  <si>
    <t>2015-04-28</t>
  </si>
  <si>
    <t>24mo</t>
  </si>
  <si>
    <t>Phase 3 Trials</t>
  </si>
  <si>
    <t>VK2735</t>
  </si>
  <si>
    <t>VNRX</t>
  </si>
  <si>
    <t>VolitionRx</t>
  </si>
  <si>
    <t>Biotech</t>
  </si>
  <si>
    <t>2007-04-25</t>
  </si>
  <si>
    <t>$2M</t>
  </si>
  <si>
    <t>$40M</t>
  </si>
  <si>
    <t>-$15M</t>
  </si>
  <si>
    <t>VRT</t>
  </si>
  <si>
    <t>Vertiv Holdings</t>
  </si>
  <si>
    <t>2018-07-30</t>
  </si>
  <si>
    <t>$8.0B</t>
  </si>
  <si>
    <t>19%</t>
  </si>
  <si>
    <t>$15B+</t>
  </si>
  <si>
    <t>$50B</t>
  </si>
  <si>
    <t>+24%</t>
  </si>
  <si>
    <t>$6.35</t>
  </si>
  <si>
    <t>WEBSOL</t>
  </si>
  <si>
    <t>Websol Energy System</t>
  </si>
  <si>
    <t>Solar Mfg</t>
  </si>
  <si>
    <t>Small-cap</t>
  </si>
  <si>
    <t>2007-05-15</t>
  </si>
  <si>
    <t>Q4 +132% YoY</t>
  </si>
  <si>
    <t>Q4 +158% YoY</t>
  </si>
  <si>
    <t>ALMM / PLI</t>
  </si>
  <si>
    <t>WORKMATES</t>
  </si>
  <si>
    <t>Workmates Core2 Solutions</t>
  </si>
  <si>
    <t>HR Tech</t>
  </si>
  <si>
    <t>2025-11-01</t>
  </si>
  <si>
    <t>Tech-led Staffing</t>
  </si>
  <si>
    <t>ZENTEC</t>
  </si>
  <si>
    <t>Zen Technologies</t>
  </si>
  <si>
    <t>Training/simulation</t>
  </si>
  <si>
    <t>1993-01-01</t>
  </si>
  <si>
    <t>Strong YTD</t>
  </si>
  <si>
    <t>ZOMATO</t>
  </si>
  <si>
    <t>Eternal (Blinkit)</t>
  </si>
  <si>
    <t>India Digital</t>
  </si>
  <si>
    <t>₹1.6L cr</t>
  </si>
  <si>
    <t>Retailing/e-Commerce</t>
  </si>
  <si>
    <t>2021-07-23</t>
  </si>
  <si>
    <t>transition</t>
  </si>
  <si>
    <t>-30%</t>
  </si>
  <si>
    <t>+100%</t>
  </si>
  <si>
    <t>TAC Infosec</t>
  </si>
  <si>
    <t>Palladyne AI</t>
  </si>
  <si>
    <t>Duos Technologies</t>
  </si>
  <si>
    <t>share price, glassdoor reviews, hiring, tech stack, google trends, patents filing, advantages over peers, driving impact on industry, launches lined up, what it means for an multibagger investor, entry point, excection and monitoring . Porvide rating nd scores for each</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</si>
</sst>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color rgb="FF000000"/>
      <name val="Calibri"/>
      <scheme val="minor"/>
    </font>
    <font>
      <color rgb="FF000000"/>
      <name val="Ui-sans-serif"/>
    </font>
  </fonts>
  <fills count="4">
    <fill>
      <patternFill patternType="none"/>
    </fill>
    <fill>
      <patternFill patternType="lightGray"/>
    </fill>
    <fill>
      <patternFill patternType="solid">
        <fgColor theme="0"/>
        <bgColor theme="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1" fillId="0" fontId="1" numFmtId="0" xfId="0" applyAlignment="1" applyBorder="1" applyFont="1">
      <alignment horizontal="center" readingOrder="0" vertical="top"/>
    </xf>
    <xf borderId="0" fillId="0" fontId="2" numFmtId="0" xfId="0" applyFont="1"/>
    <xf borderId="0" fillId="2" fontId="2" numFmtId="0" xfId="0" applyFont="1"/>
    <xf borderId="0" fillId="2" fontId="2" numFmtId="0" xfId="0" applyAlignment="1" applyFont="1">
      <alignment horizontal="left"/>
    </xf>
    <xf borderId="0" fillId="2" fontId="3" numFmtId="0" xfId="0" applyFont="1"/>
    <xf borderId="0" fillId="3" fontId="2" numFmtId="0" xfId="0" applyFill="1" applyFont="1"/>
    <xf borderId="0" fillId="0" fontId="2" numFmtId="0" xfId="0" applyAlignment="1" applyFont="1">
      <alignment readingOrder="0"/>
    </xf>
    <xf borderId="0" fillId="0" fontId="2" numFmtId="0" xfId="0" applyAlignment="1" applyFont="1">
      <alignment horizontal="left"/>
    </xf>
    <xf borderId="0" fillId="3" fontId="2" numFmtId="0" xfId="0" applyAlignment="1" applyFont="1">
      <alignment readingOrder="0"/>
    </xf>
    <xf borderId="0" fillId="3" fontId="4" numFmtId="0" xfId="0" applyAlignment="1" applyFont="1">
      <alignment readingOrder="0"/>
    </xf>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9.0"/>
    <col customWidth="1" min="3" max="5" width="25.0"/>
    <col customWidth="1" min="6" max="6" width="10.0"/>
    <col customWidth="1" min="7" max="7" width="14.0"/>
    <col customWidth="1" min="8" max="8" width="10.0"/>
    <col customWidth="1" min="9" max="9" width="13.0"/>
    <col customWidth="1" min="10" max="10" width="15.0"/>
    <col customWidth="1" min="11" max="11" width="37.29"/>
    <col customWidth="1" min="12" max="12" width="15.0"/>
    <col customWidth="1" min="13" max="14" width="17.0"/>
    <col customWidth="1" min="15" max="15" width="26.0"/>
    <col customWidth="1" min="16" max="17" width="20.0"/>
    <col customWidth="1" min="18" max="18" width="16.0"/>
    <col customWidth="1" min="19" max="19" width="18.0"/>
    <col customWidth="1" min="20" max="20" width="20.0"/>
    <col customWidth="1" min="21" max="21" width="40.0"/>
    <col customWidth="1" min="22" max="22" width="19.0"/>
    <col customWidth="1" min="23" max="23" width="8.0"/>
    <col customWidth="1" min="24" max="24" width="13.0"/>
    <col customWidth="1" min="25" max="25" width="10.0"/>
    <col customWidth="1" min="26" max="26" width="11.0"/>
    <col customWidth="1" min="27" max="28" width="9.0"/>
    <col customWidth="1" min="29" max="29" width="23.0"/>
    <col customWidth="1" min="30" max="31" width="10.0"/>
    <col customWidth="1" min="32" max="32" width="9.0"/>
    <col customWidth="1" min="33" max="35" width="12.0"/>
    <col customWidth="1" min="36" max="37" width="10.0"/>
    <col customWidth="1" min="38" max="38" width="14.0"/>
    <col customWidth="1" min="39" max="39" width="18.0"/>
    <col customWidth="1" min="40" max="40" width="12.0"/>
    <col customWidth="1" min="41" max="41" width="8.0"/>
    <col customWidth="1" min="42" max="42" width="12.0"/>
    <col customWidth="1" min="43" max="43" width="13.0"/>
    <col customWidth="1" min="44" max="44" width="12.0"/>
    <col customWidth="1" min="45" max="45" width="11.0"/>
    <col customWidth="1" min="46" max="46" width="10.0"/>
    <col customWidth="1" min="47" max="47" width="11.0"/>
    <col customWidth="1" min="48" max="48" width="16.0"/>
    <col customWidth="1" min="49" max="49" width="11.0"/>
    <col customWidth="1" min="50" max="50" width="18.0"/>
    <col customWidth="1" min="51" max="51" width="12.0"/>
    <col customWidth="1" min="52" max="52" width="10.0"/>
    <col customWidth="1" min="53" max="53" width="12.0"/>
    <col customWidth="1" min="54" max="54" width="13.0"/>
    <col customWidth="1" min="55" max="55" width="16.0"/>
    <col customWidth="1" min="56" max="56" width="9.0"/>
    <col customWidth="1" min="57" max="57" width="8.0"/>
    <col customWidth="1" min="58" max="59" width="14.0"/>
    <col customWidth="1" min="60" max="60" width="8.0"/>
    <col customWidth="1" min="61" max="61" width="14.0"/>
    <col customWidth="1" min="62" max="62" width="11.0"/>
    <col customWidth="1" min="63" max="63" width="18.0"/>
    <col customWidth="1" min="64" max="64" width="17.0"/>
    <col customWidth="1" min="65" max="65" width="9.0"/>
    <col customWidth="1" min="66" max="66" width="13.0"/>
    <col customWidth="1" min="67" max="68" width="10.0"/>
    <col customWidth="1" min="69" max="72" width="14.0"/>
    <col customWidth="1" min="73" max="73" width="23.0"/>
    <col customWidth="1" min="74" max="74" width="16.0"/>
    <col customWidth="1" min="75" max="75" width="22.0"/>
    <col customWidth="1" min="76" max="76" width="16.0"/>
    <col customWidth="1" min="77" max="77" width="13.0"/>
    <col customWidth="1" min="78" max="78" width="18.0"/>
    <col customWidth="1" min="79" max="79" width="11.0"/>
    <col customWidth="1" min="80" max="80" width="9.0"/>
    <col customWidth="1" min="81" max="81" width="14.0"/>
    <col customWidth="1" min="82" max="82" width="12.0"/>
    <col customWidth="1" min="83" max="83" width="8.0"/>
    <col customWidth="1" min="84" max="84" width="10.0"/>
    <col customWidth="1" min="85" max="85" width="24.0"/>
    <col customWidth="1" min="86" max="86" width="21.0"/>
    <col customWidth="1" min="87" max="87" width="23.0"/>
    <col customWidth="1" min="88" max="88" width="20.0"/>
    <col customWidth="1" min="89" max="89" width="16.0"/>
    <col customWidth="1" min="90" max="90" width="19.0"/>
    <col customWidth="1" min="91" max="91" width="17.0"/>
    <col customWidth="1" min="92" max="92" width="24.0"/>
    <col customWidth="1" min="93" max="93" width="19.0"/>
    <col customWidth="1" min="94" max="94" width="14.0"/>
    <col customWidth="1" min="95" max="95" width="18.0"/>
    <col customWidth="1" min="96" max="96" width="15.0"/>
    <col customWidth="1" min="97" max="97" width="14.0"/>
    <col customWidth="1" min="98" max="98" width="16.0"/>
    <col customWidth="1" min="99" max="99" width="23.0"/>
    <col customWidth="1" min="100" max="100" width="11.0"/>
    <col customWidth="1" min="101" max="101" width="24.0"/>
    <col customWidth="1" min="102" max="102" width="17.0"/>
    <col customWidth="1" min="103" max="103" width="15.0"/>
    <col customWidth="1" min="104" max="104" width="8.71"/>
  </cols>
  <sheetData>
    <row r="1">
      <c r="A1" s="1" t="s">
        <v>0</v>
      </c>
      <c r="B1" s="2" t="s">
        <v>1</v>
      </c>
      <c r="C1" s="3" t="s">
        <v>2</v>
      </c>
      <c r="D1" s="1"/>
      <c r="E1" s="1" t="s">
        <v>3</v>
      </c>
      <c r="F1" s="1" t="s">
        <v>4</v>
      </c>
      <c r="G1" s="1" t="s">
        <v>5</v>
      </c>
      <c r="H1" s="1" t="s">
        <v>6</v>
      </c>
      <c r="I1" s="1" t="s">
        <v>7</v>
      </c>
      <c r="J1" s="1" t="s">
        <v>8</v>
      </c>
      <c r="K1" s="1" t="s">
        <v>9</v>
      </c>
      <c r="L1" s="1" t="s">
        <v>10</v>
      </c>
      <c r="M1" s="1"/>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4" t="s">
        <v>101</v>
      </c>
    </row>
    <row r="2" hidden="1">
      <c r="A2" s="4" t="s">
        <v>102</v>
      </c>
      <c r="B2" s="4" t="s">
        <v>103</v>
      </c>
      <c r="E2" s="4" t="s">
        <v>104</v>
      </c>
      <c r="F2" s="4" t="s">
        <v>105</v>
      </c>
      <c r="G2" s="4">
        <v>88.0</v>
      </c>
      <c r="H2" s="4" t="s">
        <v>106</v>
      </c>
      <c r="I2" s="4" t="s">
        <v>107</v>
      </c>
      <c r="J2" s="4" t="s">
        <v>108</v>
      </c>
      <c r="K2" s="4" t="s">
        <v>109</v>
      </c>
      <c r="L2" s="4" t="s">
        <v>110</v>
      </c>
      <c r="M2" s="4">
        <f t="shared" ref="M2:M61" si="1">YEAR(L2)</f>
        <v>1986</v>
      </c>
      <c r="N2" s="4">
        <v>1169.9</v>
      </c>
      <c r="O2" s="4">
        <f t="shared" ref="O2:O61" si="2">(CZ2-N2)/CZ2</f>
        <v>0.2326260208</v>
      </c>
      <c r="P2" s="4">
        <v>8.0</v>
      </c>
      <c r="Q2" s="4">
        <v>9.0</v>
      </c>
      <c r="R2" s="4">
        <v>8.0</v>
      </c>
      <c r="S2" s="4">
        <v>9.0</v>
      </c>
      <c r="T2" s="4">
        <v>8.0</v>
      </c>
      <c r="U2" s="4" t="s">
        <v>111</v>
      </c>
      <c r="V2" s="4" t="s">
        <v>112</v>
      </c>
      <c r="AC2" s="4" t="s">
        <v>113</v>
      </c>
      <c r="CZ2" s="4">
        <v>1524.55</v>
      </c>
    </row>
    <row r="3" hidden="1">
      <c r="A3" s="4" t="s">
        <v>114</v>
      </c>
      <c r="B3" s="4" t="s">
        <v>115</v>
      </c>
      <c r="E3" s="4" t="s">
        <v>116</v>
      </c>
      <c r="F3" s="4" t="s">
        <v>117</v>
      </c>
      <c r="G3" s="4">
        <v>87.0</v>
      </c>
      <c r="H3" s="4" t="s">
        <v>118</v>
      </c>
      <c r="I3" s="4" t="s">
        <v>107</v>
      </c>
      <c r="J3" s="4" t="s">
        <v>119</v>
      </c>
      <c r="K3" s="4" t="s">
        <v>120</v>
      </c>
      <c r="L3" s="4" t="s">
        <v>121</v>
      </c>
      <c r="M3" s="4">
        <f t="shared" si="1"/>
        <v>1997</v>
      </c>
      <c r="N3" s="4">
        <v>106.34</v>
      </c>
      <c r="O3" s="4">
        <f t="shared" si="2"/>
        <v>0.02216091954</v>
      </c>
      <c r="P3" s="4">
        <v>8.0</v>
      </c>
      <c r="Q3" s="4">
        <v>9.0</v>
      </c>
      <c r="R3" s="4">
        <v>8.0</v>
      </c>
      <c r="S3" s="4">
        <v>7.0</v>
      </c>
      <c r="T3" s="4">
        <v>8.0</v>
      </c>
      <c r="U3" s="4" t="s">
        <v>122</v>
      </c>
      <c r="BU3" s="4" t="s">
        <v>123</v>
      </c>
      <c r="CQ3" s="4" t="s">
        <v>124</v>
      </c>
      <c r="CR3" s="4" t="s">
        <v>125</v>
      </c>
      <c r="CZ3" s="4">
        <v>108.75</v>
      </c>
    </row>
    <row r="4">
      <c r="A4" s="4" t="s">
        <v>126</v>
      </c>
      <c r="B4" s="5" t="s">
        <v>127</v>
      </c>
      <c r="E4" s="4" t="s">
        <v>128</v>
      </c>
      <c r="F4" s="4" t="s">
        <v>117</v>
      </c>
      <c r="G4" s="4">
        <v>92.0</v>
      </c>
      <c r="H4" s="4" t="s">
        <v>129</v>
      </c>
      <c r="I4" s="4" t="s">
        <v>107</v>
      </c>
      <c r="J4" s="4" t="s">
        <v>130</v>
      </c>
      <c r="K4" s="4" t="s">
        <v>120</v>
      </c>
      <c r="L4" s="4" t="s">
        <v>131</v>
      </c>
      <c r="M4" s="4">
        <f t="shared" si="1"/>
        <v>2024</v>
      </c>
      <c r="N4" s="4">
        <v>215.58</v>
      </c>
      <c r="O4" s="4">
        <f t="shared" si="2"/>
        <v>0.13768</v>
      </c>
      <c r="P4" s="4">
        <v>8.0</v>
      </c>
      <c r="Q4" s="4">
        <v>10.0</v>
      </c>
      <c r="R4" s="4">
        <v>9.0</v>
      </c>
      <c r="S4" s="4">
        <v>8.0</v>
      </c>
      <c r="T4" s="4">
        <v>8.0</v>
      </c>
      <c r="U4" s="4" t="s">
        <v>132</v>
      </c>
      <c r="V4" s="4" t="s">
        <v>133</v>
      </c>
      <c r="W4" s="4" t="s">
        <v>134</v>
      </c>
      <c r="X4" s="4" t="s">
        <v>135</v>
      </c>
      <c r="CZ4" s="4">
        <v>250.0</v>
      </c>
    </row>
    <row r="5">
      <c r="A5" s="4" t="s">
        <v>126</v>
      </c>
      <c r="B5" s="6" t="s">
        <v>127</v>
      </c>
      <c r="E5" s="4" t="s">
        <v>136</v>
      </c>
      <c r="F5" s="4" t="s">
        <v>117</v>
      </c>
      <c r="G5" s="4">
        <v>92.0</v>
      </c>
      <c r="H5" s="4" t="s">
        <v>137</v>
      </c>
      <c r="I5" s="4" t="s">
        <v>107</v>
      </c>
      <c r="J5" s="4" t="s">
        <v>138</v>
      </c>
      <c r="K5" s="4" t="s">
        <v>120</v>
      </c>
      <c r="L5" s="4" t="s">
        <v>131</v>
      </c>
      <c r="M5" s="4">
        <f t="shared" si="1"/>
        <v>2024</v>
      </c>
      <c r="N5" s="4">
        <v>215.58</v>
      </c>
      <c r="O5" s="4">
        <f t="shared" si="2"/>
        <v>0.13768</v>
      </c>
      <c r="P5" s="4">
        <v>9.0</v>
      </c>
      <c r="Q5" s="4">
        <v>9.0</v>
      </c>
      <c r="R5" s="4">
        <v>10.0</v>
      </c>
      <c r="S5" s="4">
        <v>8.0</v>
      </c>
      <c r="T5" s="4">
        <v>7.0</v>
      </c>
      <c r="U5" s="4" t="s">
        <v>111</v>
      </c>
      <c r="V5" s="4" t="s">
        <v>139</v>
      </c>
      <c r="AC5" s="4" t="s">
        <v>140</v>
      </c>
      <c r="BX5" s="4" t="s">
        <v>141</v>
      </c>
      <c r="CZ5" s="4">
        <v>250.0</v>
      </c>
    </row>
    <row r="6">
      <c r="A6" s="4" t="s">
        <v>142</v>
      </c>
      <c r="B6" s="7" t="s">
        <v>143</v>
      </c>
      <c r="E6" s="4" t="s">
        <v>136</v>
      </c>
      <c r="F6" s="4" t="s">
        <v>117</v>
      </c>
      <c r="G6" s="4">
        <v>90.0</v>
      </c>
      <c r="H6" s="4" t="s">
        <v>144</v>
      </c>
      <c r="I6" s="4" t="s">
        <v>145</v>
      </c>
      <c r="J6" s="4" t="s">
        <v>146</v>
      </c>
      <c r="K6" s="4" t="s">
        <v>147</v>
      </c>
      <c r="L6" s="4" t="s">
        <v>148</v>
      </c>
      <c r="M6" s="4">
        <f t="shared" si="1"/>
        <v>2022</v>
      </c>
      <c r="N6" s="4">
        <v>19.09</v>
      </c>
      <c r="O6" s="4">
        <f t="shared" si="2"/>
        <v>0.2623647604</v>
      </c>
      <c r="P6" s="4">
        <v>8.0</v>
      </c>
      <c r="Q6" s="4">
        <v>10.0</v>
      </c>
      <c r="R6" s="4">
        <v>8.0</v>
      </c>
      <c r="S6" s="4">
        <v>6.0</v>
      </c>
      <c r="T6" s="4">
        <v>9.0</v>
      </c>
      <c r="U6" s="4" t="s">
        <v>149</v>
      </c>
      <c r="V6" s="4" t="s">
        <v>150</v>
      </c>
      <c r="AJ6" s="4" t="s">
        <v>151</v>
      </c>
      <c r="BY6" s="4" t="s">
        <v>152</v>
      </c>
      <c r="CZ6" s="4">
        <v>25.88</v>
      </c>
    </row>
    <row r="7">
      <c r="A7" s="4" t="s">
        <v>153</v>
      </c>
      <c r="B7" s="8" t="s">
        <v>154</v>
      </c>
      <c r="E7" s="4" t="s">
        <v>155</v>
      </c>
      <c r="F7" s="4" t="s">
        <v>117</v>
      </c>
      <c r="G7" s="4">
        <v>82.0</v>
      </c>
      <c r="H7" s="4" t="s">
        <v>156</v>
      </c>
      <c r="I7" s="4" t="s">
        <v>145</v>
      </c>
      <c r="J7" s="4" t="s">
        <v>157</v>
      </c>
      <c r="K7" s="4" t="s">
        <v>147</v>
      </c>
      <c r="L7" s="4" t="s">
        <v>158</v>
      </c>
      <c r="M7" s="4">
        <f t="shared" si="1"/>
        <v>2021</v>
      </c>
      <c r="N7" s="4">
        <v>5.98</v>
      </c>
      <c r="O7" s="4">
        <f t="shared" si="2"/>
        <v>0.8576190476</v>
      </c>
      <c r="P7" s="4">
        <v>7.0</v>
      </c>
      <c r="Q7" s="4">
        <v>9.0</v>
      </c>
      <c r="R7" s="4">
        <v>6.0</v>
      </c>
      <c r="S7" s="4">
        <v>5.0</v>
      </c>
      <c r="T7" s="4">
        <v>8.0</v>
      </c>
      <c r="U7" s="4" t="s">
        <v>111</v>
      </c>
      <c r="V7" s="4" t="s">
        <v>159</v>
      </c>
      <c r="CE7" s="4" t="s">
        <v>160</v>
      </c>
      <c r="CF7" s="4" t="s">
        <v>161</v>
      </c>
      <c r="CZ7" s="4">
        <v>42.0</v>
      </c>
    </row>
    <row r="8">
      <c r="A8" s="4" t="s">
        <v>162</v>
      </c>
      <c r="B8" s="5" t="s">
        <v>163</v>
      </c>
      <c r="E8" s="4" t="s">
        <v>164</v>
      </c>
      <c r="F8" s="4" t="s">
        <v>117</v>
      </c>
      <c r="G8" s="4">
        <v>88.0</v>
      </c>
      <c r="H8" s="4" t="s">
        <v>165</v>
      </c>
      <c r="I8" s="4" t="s">
        <v>145</v>
      </c>
      <c r="J8" s="4" t="s">
        <v>166</v>
      </c>
      <c r="K8" s="4" t="s">
        <v>167</v>
      </c>
      <c r="L8" s="4" t="s">
        <v>168</v>
      </c>
      <c r="M8" s="4">
        <f t="shared" si="1"/>
        <v>2021</v>
      </c>
      <c r="N8" s="4">
        <v>86.83</v>
      </c>
      <c r="O8" s="4">
        <f t="shared" si="2"/>
        <v>0.3315112788</v>
      </c>
      <c r="P8" s="4">
        <v>8.0</v>
      </c>
      <c r="Q8" s="4">
        <v>10.0</v>
      </c>
      <c r="R8" s="4">
        <v>9.0</v>
      </c>
      <c r="S8" s="4">
        <v>5.0</v>
      </c>
      <c r="T8" s="4">
        <v>9.0</v>
      </c>
      <c r="U8" s="4" t="s">
        <v>111</v>
      </c>
      <c r="V8" s="4" t="s">
        <v>159</v>
      </c>
      <c r="Z8" s="4" t="s">
        <v>169</v>
      </c>
      <c r="CC8" s="4" t="s">
        <v>170</v>
      </c>
      <c r="CZ8" s="4">
        <v>129.89</v>
      </c>
    </row>
    <row r="9" hidden="1">
      <c r="A9" s="4" t="s">
        <v>171</v>
      </c>
      <c r="B9" s="4" t="s">
        <v>172</v>
      </c>
      <c r="E9" s="4" t="s">
        <v>173</v>
      </c>
      <c r="F9" s="4" t="s">
        <v>117</v>
      </c>
      <c r="G9" s="4">
        <v>91.0</v>
      </c>
      <c r="H9" s="4" t="s">
        <v>174</v>
      </c>
      <c r="I9" s="4" t="s">
        <v>145</v>
      </c>
      <c r="J9" s="4" t="s">
        <v>175</v>
      </c>
      <c r="K9" s="4" t="s">
        <v>120</v>
      </c>
      <c r="L9" s="4" t="s">
        <v>176</v>
      </c>
      <c r="M9" s="4">
        <f t="shared" si="1"/>
        <v>1998</v>
      </c>
      <c r="N9" s="4">
        <v>105.88</v>
      </c>
      <c r="O9" s="4">
        <f t="shared" si="2"/>
        <v>0.1819516341</v>
      </c>
      <c r="P9" s="4">
        <v>8.0</v>
      </c>
      <c r="Q9" s="4">
        <v>10.0</v>
      </c>
      <c r="R9" s="4">
        <v>10.0</v>
      </c>
      <c r="S9" s="4">
        <v>7.0</v>
      </c>
      <c r="T9" s="4">
        <v>8.0</v>
      </c>
      <c r="U9" s="4" t="s">
        <v>122</v>
      </c>
      <c r="AC9" s="4" t="s">
        <v>177</v>
      </c>
      <c r="CH9" s="4" t="s">
        <v>178</v>
      </c>
      <c r="CI9" s="4" t="s">
        <v>179</v>
      </c>
      <c r="CZ9" s="4">
        <v>129.43</v>
      </c>
    </row>
    <row r="10" hidden="1">
      <c r="A10" s="4" t="s">
        <v>180</v>
      </c>
      <c r="B10" s="4" t="s">
        <v>181</v>
      </c>
      <c r="E10" s="4" t="s">
        <v>182</v>
      </c>
      <c r="F10" s="4" t="s">
        <v>117</v>
      </c>
      <c r="G10" s="4">
        <v>76.0</v>
      </c>
      <c r="H10" s="4" t="s">
        <v>183</v>
      </c>
      <c r="I10" s="4" t="s">
        <v>184</v>
      </c>
      <c r="J10" s="4" t="s">
        <v>185</v>
      </c>
      <c r="K10" s="4" t="s">
        <v>186</v>
      </c>
      <c r="L10" s="4" t="s">
        <v>187</v>
      </c>
      <c r="M10" s="4">
        <f t="shared" si="1"/>
        <v>2020</v>
      </c>
      <c r="N10" s="4">
        <v>26.81</v>
      </c>
      <c r="O10" s="4">
        <f t="shared" si="2"/>
        <v>0.2642700329</v>
      </c>
      <c r="P10" s="4">
        <v>7.0</v>
      </c>
      <c r="Q10" s="4">
        <v>9.0</v>
      </c>
      <c r="R10" s="4">
        <v>5.0</v>
      </c>
      <c r="S10" s="4">
        <v>5.0</v>
      </c>
      <c r="T10" s="4">
        <v>8.0</v>
      </c>
      <c r="U10" s="4" t="s">
        <v>132</v>
      </c>
      <c r="AJ10" s="4" t="s">
        <v>139</v>
      </c>
      <c r="AM10" s="4" t="s">
        <v>188</v>
      </c>
      <c r="AN10" s="4" t="s">
        <v>189</v>
      </c>
      <c r="CZ10" s="4">
        <v>36.44</v>
      </c>
    </row>
    <row r="11">
      <c r="A11" s="4" t="s">
        <v>190</v>
      </c>
      <c r="B11" s="5" t="s">
        <v>191</v>
      </c>
      <c r="E11" s="4" t="s">
        <v>192</v>
      </c>
      <c r="F11" s="4" t="s">
        <v>105</v>
      </c>
      <c r="G11" s="4">
        <v>86.0</v>
      </c>
      <c r="H11" s="4" t="s">
        <v>193</v>
      </c>
      <c r="I11" s="4" t="s">
        <v>107</v>
      </c>
      <c r="J11" s="4" t="s">
        <v>194</v>
      </c>
      <c r="K11" s="4" t="s">
        <v>195</v>
      </c>
      <c r="L11" s="4" t="s">
        <v>196</v>
      </c>
      <c r="M11" s="4">
        <f t="shared" si="1"/>
        <v>2023</v>
      </c>
      <c r="N11" s="4">
        <v>355.3</v>
      </c>
      <c r="O11" s="4">
        <f t="shared" si="2"/>
        <v>0.3033333333</v>
      </c>
      <c r="P11" s="4">
        <v>8.0</v>
      </c>
      <c r="Q11" s="4">
        <v>7.0</v>
      </c>
      <c r="R11" s="4">
        <v>9.0</v>
      </c>
      <c r="S11" s="4">
        <v>7.0</v>
      </c>
      <c r="T11" s="4">
        <v>8.0</v>
      </c>
      <c r="U11" s="4" t="s">
        <v>122</v>
      </c>
      <c r="AC11" s="4" t="s">
        <v>197</v>
      </c>
      <c r="BS11" s="4" t="s">
        <v>198</v>
      </c>
      <c r="CT11" s="4" t="s">
        <v>199</v>
      </c>
      <c r="CZ11" s="4">
        <v>510.0</v>
      </c>
    </row>
    <row r="12" hidden="1">
      <c r="A12" s="4" t="s">
        <v>200</v>
      </c>
      <c r="B12" s="4" t="s">
        <v>201</v>
      </c>
      <c r="E12" s="4" t="s">
        <v>202</v>
      </c>
      <c r="F12" s="4" t="s">
        <v>105</v>
      </c>
      <c r="G12" s="4">
        <v>78.0</v>
      </c>
      <c r="H12" s="4" t="s">
        <v>203</v>
      </c>
      <c r="I12" s="4" t="s">
        <v>204</v>
      </c>
      <c r="J12" s="4" t="s">
        <v>205</v>
      </c>
      <c r="K12" s="4" t="s">
        <v>206</v>
      </c>
      <c r="L12" s="4" t="s">
        <v>207</v>
      </c>
      <c r="M12" s="4">
        <f t="shared" si="1"/>
        <v>2017</v>
      </c>
      <c r="N12" s="4">
        <v>1303.4</v>
      </c>
      <c r="O12" s="4">
        <f t="shared" si="2"/>
        <v>0.2873311827</v>
      </c>
      <c r="P12" s="4">
        <v>7.0</v>
      </c>
      <c r="Q12" s="4">
        <v>6.0</v>
      </c>
      <c r="R12" s="4">
        <v>9.0</v>
      </c>
      <c r="S12" s="4">
        <v>9.0</v>
      </c>
      <c r="T12" s="4">
        <v>6.0</v>
      </c>
      <c r="U12" s="4" t="s">
        <v>132</v>
      </c>
      <c r="AC12" s="4" t="s">
        <v>208</v>
      </c>
      <c r="AX12" s="4" t="s">
        <v>209</v>
      </c>
      <c r="AY12" s="4" t="s">
        <v>210</v>
      </c>
      <c r="CZ12" s="4">
        <v>1828.9</v>
      </c>
    </row>
    <row r="13">
      <c r="A13" s="4" t="s">
        <v>211</v>
      </c>
      <c r="B13" s="5" t="s">
        <v>212</v>
      </c>
      <c r="E13" s="4" t="s">
        <v>213</v>
      </c>
      <c r="F13" s="4" t="s">
        <v>117</v>
      </c>
      <c r="G13" s="4">
        <v>82.0</v>
      </c>
      <c r="H13" s="4" t="s">
        <v>203</v>
      </c>
      <c r="I13" s="4" t="s">
        <v>107</v>
      </c>
      <c r="J13" s="4" t="s">
        <v>214</v>
      </c>
      <c r="K13" s="4" t="s">
        <v>215</v>
      </c>
      <c r="L13" s="4" t="s">
        <v>216</v>
      </c>
      <c r="M13" s="4">
        <f t="shared" si="1"/>
        <v>2022</v>
      </c>
      <c r="N13" s="4">
        <v>274.89</v>
      </c>
      <c r="O13" s="4">
        <f t="shared" si="2"/>
        <v>0.3337292162</v>
      </c>
      <c r="P13" s="4">
        <v>7.0</v>
      </c>
      <c r="Q13" s="4">
        <v>8.0</v>
      </c>
      <c r="R13" s="4">
        <v>10.0</v>
      </c>
      <c r="S13" s="4">
        <v>8.0</v>
      </c>
      <c r="T13" s="4">
        <v>7.0</v>
      </c>
      <c r="U13" s="4" t="s">
        <v>132</v>
      </c>
      <c r="BA13" s="4" t="s">
        <v>217</v>
      </c>
      <c r="BB13" s="4" t="s">
        <v>218</v>
      </c>
      <c r="BC13" s="4" t="s">
        <v>219</v>
      </c>
      <c r="CZ13" s="4">
        <v>412.58</v>
      </c>
    </row>
    <row r="14">
      <c r="A14" s="4" t="s">
        <v>220</v>
      </c>
      <c r="B14" s="8" t="s">
        <v>221</v>
      </c>
      <c r="C14" s="9" t="s">
        <v>222</v>
      </c>
      <c r="E14" s="4" t="s">
        <v>223</v>
      </c>
      <c r="F14" s="4" t="s">
        <v>105</v>
      </c>
      <c r="G14" s="4">
        <v>84.0</v>
      </c>
      <c r="H14" s="4" t="s">
        <v>165</v>
      </c>
      <c r="I14" s="4" t="s">
        <v>145</v>
      </c>
      <c r="J14" s="4" t="s">
        <v>224</v>
      </c>
      <c r="K14" s="4" t="s">
        <v>223</v>
      </c>
      <c r="L14" s="4" t="s">
        <v>225</v>
      </c>
      <c r="M14" s="4">
        <f t="shared" si="1"/>
        <v>2024</v>
      </c>
      <c r="N14" s="4">
        <v>257.6</v>
      </c>
      <c r="O14" s="4">
        <f t="shared" si="2"/>
        <v>0.1743589744</v>
      </c>
      <c r="P14" s="4">
        <v>7.0</v>
      </c>
      <c r="Q14" s="4">
        <v>8.0</v>
      </c>
      <c r="R14" s="4">
        <v>8.0</v>
      </c>
      <c r="S14" s="4">
        <v>8.0</v>
      </c>
      <c r="T14" s="4">
        <v>9.0</v>
      </c>
      <c r="U14" s="4" t="s">
        <v>111</v>
      </c>
      <c r="V14" s="4" t="s">
        <v>226</v>
      </c>
      <c r="CG14" s="4" t="s">
        <v>227</v>
      </c>
      <c r="CZ14" s="4">
        <v>312.0</v>
      </c>
    </row>
    <row r="15">
      <c r="A15" s="4" t="s">
        <v>228</v>
      </c>
      <c r="B15" s="5" t="s">
        <v>229</v>
      </c>
      <c r="E15" s="4" t="s">
        <v>136</v>
      </c>
      <c r="F15" s="4" t="s">
        <v>117</v>
      </c>
      <c r="G15" s="4">
        <v>90.0</v>
      </c>
      <c r="H15" s="4" t="s">
        <v>230</v>
      </c>
      <c r="I15" s="4" t="s">
        <v>107</v>
      </c>
      <c r="J15" s="4" t="s">
        <v>231</v>
      </c>
      <c r="K15" s="4" t="s">
        <v>147</v>
      </c>
      <c r="L15" s="4" t="s">
        <v>232</v>
      </c>
      <c r="M15" s="4">
        <f t="shared" si="1"/>
        <v>2022</v>
      </c>
      <c r="N15" s="4">
        <v>156.27</v>
      </c>
      <c r="O15" s="4">
        <f t="shared" si="2"/>
        <v>0.2690832554</v>
      </c>
      <c r="P15" s="4">
        <v>9.0</v>
      </c>
      <c r="Q15" s="4">
        <v>9.0</v>
      </c>
      <c r="R15" s="4">
        <v>10.0</v>
      </c>
      <c r="S15" s="4">
        <v>8.0</v>
      </c>
      <c r="T15" s="4">
        <v>6.0</v>
      </c>
      <c r="U15" s="4" t="s">
        <v>122</v>
      </c>
      <c r="AC15" s="4" t="s">
        <v>233</v>
      </c>
      <c r="CI15" s="4" t="s">
        <v>234</v>
      </c>
      <c r="CN15" s="4" t="s">
        <v>235</v>
      </c>
      <c r="CZ15" s="4">
        <v>213.8</v>
      </c>
    </row>
    <row r="16" hidden="1">
      <c r="A16" s="4" t="s">
        <v>236</v>
      </c>
      <c r="B16" s="4" t="s">
        <v>237</v>
      </c>
      <c r="E16" s="4" t="s">
        <v>182</v>
      </c>
      <c r="F16" s="4" t="s">
        <v>117</v>
      </c>
      <c r="G16" s="4">
        <v>84.0</v>
      </c>
      <c r="H16" s="4" t="s">
        <v>193</v>
      </c>
      <c r="I16" s="4" t="s">
        <v>238</v>
      </c>
      <c r="J16" s="4" t="s">
        <v>239</v>
      </c>
      <c r="K16" s="4" t="s">
        <v>186</v>
      </c>
      <c r="L16" s="4" t="s">
        <v>240</v>
      </c>
      <c r="M16" s="4">
        <f t="shared" si="1"/>
        <v>2016</v>
      </c>
      <c r="N16" s="4">
        <v>50.45</v>
      </c>
      <c r="O16" s="4">
        <f t="shared" si="2"/>
        <v>0.3571610601</v>
      </c>
      <c r="P16" s="4">
        <v>9.0</v>
      </c>
      <c r="Q16" s="4">
        <v>8.0</v>
      </c>
      <c r="R16" s="4">
        <v>9.0</v>
      </c>
      <c r="S16" s="4">
        <v>7.0</v>
      </c>
      <c r="T16" s="4">
        <v>7.0</v>
      </c>
      <c r="U16" s="4" t="s">
        <v>132</v>
      </c>
      <c r="V16" s="4" t="s">
        <v>241</v>
      </c>
      <c r="AH16" s="4" t="s">
        <v>242</v>
      </c>
      <c r="AI16" s="4" t="s">
        <v>243</v>
      </c>
      <c r="CZ16" s="4">
        <v>78.48</v>
      </c>
    </row>
    <row r="17" hidden="1">
      <c r="A17" s="4" t="s">
        <v>236</v>
      </c>
      <c r="B17" s="4" t="s">
        <v>237</v>
      </c>
      <c r="E17" s="4" t="s">
        <v>244</v>
      </c>
      <c r="F17" s="4" t="s">
        <v>117</v>
      </c>
      <c r="G17" s="4">
        <v>88.0</v>
      </c>
      <c r="H17" s="4" t="s">
        <v>129</v>
      </c>
      <c r="I17" s="4" t="s">
        <v>145</v>
      </c>
      <c r="J17" s="4" t="s">
        <v>245</v>
      </c>
      <c r="K17" s="4" t="s">
        <v>186</v>
      </c>
      <c r="L17" s="4" t="s">
        <v>240</v>
      </c>
      <c r="M17" s="4">
        <f t="shared" si="1"/>
        <v>2016</v>
      </c>
      <c r="N17" s="4">
        <v>50.45</v>
      </c>
      <c r="O17" s="4">
        <f t="shared" si="2"/>
        <v>0.3571610601</v>
      </c>
      <c r="P17" s="4">
        <v>9.0</v>
      </c>
      <c r="Q17" s="4">
        <v>10.0</v>
      </c>
      <c r="R17" s="4">
        <v>8.0</v>
      </c>
      <c r="S17" s="4">
        <v>7.0</v>
      </c>
      <c r="T17" s="4">
        <v>8.0</v>
      </c>
      <c r="U17" s="4" t="s">
        <v>149</v>
      </c>
      <c r="AJ17" s="4" t="s">
        <v>246</v>
      </c>
      <c r="BU17" s="4" t="s">
        <v>247</v>
      </c>
      <c r="BV17" s="4" t="s">
        <v>242</v>
      </c>
      <c r="CZ17" s="4">
        <v>78.48</v>
      </c>
    </row>
    <row r="18">
      <c r="A18" s="4" t="s">
        <v>248</v>
      </c>
      <c r="B18" s="5" t="s">
        <v>249</v>
      </c>
      <c r="E18" s="4" t="s">
        <v>250</v>
      </c>
      <c r="F18" s="4" t="s">
        <v>105</v>
      </c>
      <c r="G18" s="4">
        <v>90.0</v>
      </c>
      <c r="H18" s="4" t="s">
        <v>230</v>
      </c>
      <c r="I18" s="4" t="s">
        <v>107</v>
      </c>
      <c r="J18" s="4" t="s">
        <v>251</v>
      </c>
      <c r="K18" s="4" t="s">
        <v>252</v>
      </c>
      <c r="L18" s="4" t="s">
        <v>253</v>
      </c>
      <c r="M18" s="4">
        <f t="shared" si="1"/>
        <v>2021</v>
      </c>
      <c r="N18" s="4">
        <v>4135.1</v>
      </c>
      <c r="O18" s="4">
        <f t="shared" si="2"/>
        <v>0.03901928887</v>
      </c>
      <c r="P18" s="4">
        <v>8.0</v>
      </c>
      <c r="Q18" s="4">
        <v>9.0</v>
      </c>
      <c r="R18" s="4">
        <v>10.0</v>
      </c>
      <c r="S18" s="4">
        <v>8.0</v>
      </c>
      <c r="T18" s="4">
        <v>8.0</v>
      </c>
      <c r="U18" s="4" t="s">
        <v>132</v>
      </c>
      <c r="AQ18" s="4" t="s">
        <v>254</v>
      </c>
      <c r="BL18" s="4" t="s">
        <v>255</v>
      </c>
      <c r="BM18" s="4" t="s">
        <v>256</v>
      </c>
      <c r="CZ18" s="4">
        <v>4303.0</v>
      </c>
    </row>
    <row r="19">
      <c r="A19" s="4" t="s">
        <v>257</v>
      </c>
      <c r="B19" s="5" t="s">
        <v>258</v>
      </c>
      <c r="E19" s="4" t="s">
        <v>259</v>
      </c>
      <c r="F19" s="4" t="s">
        <v>117</v>
      </c>
      <c r="G19" s="4">
        <v>83.0</v>
      </c>
      <c r="H19" s="4" t="s">
        <v>260</v>
      </c>
      <c r="I19" s="4" t="s">
        <v>238</v>
      </c>
      <c r="J19" s="4" t="s">
        <v>261</v>
      </c>
      <c r="K19" s="4" t="s">
        <v>262</v>
      </c>
      <c r="L19" s="4" t="s">
        <v>263</v>
      </c>
      <c r="M19" s="4">
        <f t="shared" si="1"/>
        <v>2021</v>
      </c>
      <c r="N19" s="4">
        <v>113.24</v>
      </c>
      <c r="O19" s="4">
        <f t="shared" si="2"/>
        <v>0.7921934927</v>
      </c>
      <c r="P19" s="4">
        <v>8.0</v>
      </c>
      <c r="Q19" s="4">
        <v>9.0</v>
      </c>
      <c r="R19" s="4">
        <v>9.0</v>
      </c>
      <c r="S19" s="4">
        <v>8.0</v>
      </c>
      <c r="T19" s="4">
        <v>6.0</v>
      </c>
      <c r="U19" s="4" t="s">
        <v>132</v>
      </c>
      <c r="BD19" s="4" t="s">
        <v>264</v>
      </c>
      <c r="BE19" s="4" t="s">
        <v>265</v>
      </c>
      <c r="BF19" s="4" t="s">
        <v>255</v>
      </c>
      <c r="CZ19" s="4">
        <v>544.93</v>
      </c>
    </row>
    <row r="20">
      <c r="A20" s="4" t="s">
        <v>266</v>
      </c>
      <c r="B20" s="5" t="s">
        <v>267</v>
      </c>
      <c r="C20" s="9" t="s">
        <v>222</v>
      </c>
      <c r="E20" s="4" t="s">
        <v>268</v>
      </c>
      <c r="F20" s="4" t="s">
        <v>105</v>
      </c>
      <c r="G20" s="4">
        <v>87.0</v>
      </c>
      <c r="H20" s="4" t="s">
        <v>118</v>
      </c>
      <c r="I20" s="4" t="s">
        <v>107</v>
      </c>
      <c r="J20" s="4" t="s">
        <v>269</v>
      </c>
      <c r="K20" s="4" t="s">
        <v>252</v>
      </c>
      <c r="L20" s="4" t="s">
        <v>270</v>
      </c>
      <c r="M20" s="4">
        <f t="shared" si="1"/>
        <v>2023</v>
      </c>
      <c r="N20" s="4">
        <v>602.0</v>
      </c>
      <c r="O20" s="4">
        <f t="shared" si="2"/>
        <v>0.08767144048</v>
      </c>
      <c r="P20" s="4">
        <v>9.0</v>
      </c>
      <c r="Q20" s="4">
        <v>9.0</v>
      </c>
      <c r="R20" s="4">
        <v>9.0</v>
      </c>
      <c r="S20" s="4">
        <v>7.0</v>
      </c>
      <c r="T20" s="4">
        <v>8.0</v>
      </c>
      <c r="U20" s="4" t="s">
        <v>122</v>
      </c>
      <c r="CI20" s="4" t="s">
        <v>271</v>
      </c>
      <c r="CW20" s="4" t="s">
        <v>272</v>
      </c>
      <c r="CX20" s="4" t="s">
        <v>273</v>
      </c>
      <c r="CZ20" s="4">
        <v>659.85</v>
      </c>
    </row>
    <row r="21" ht="15.75" customHeight="1">
      <c r="A21" s="4" t="s">
        <v>274</v>
      </c>
      <c r="B21" s="5" t="s">
        <v>275</v>
      </c>
      <c r="D21" s="9" t="s">
        <v>276</v>
      </c>
      <c r="E21" s="4" t="s">
        <v>277</v>
      </c>
      <c r="F21" s="4" t="s">
        <v>117</v>
      </c>
      <c r="G21" s="4">
        <v>79.0</v>
      </c>
      <c r="H21" s="4" t="s">
        <v>278</v>
      </c>
      <c r="I21" s="4" t="s">
        <v>145</v>
      </c>
      <c r="J21" s="4" t="s">
        <v>279</v>
      </c>
      <c r="K21" s="4" t="s">
        <v>147</v>
      </c>
      <c r="L21" s="4" t="s">
        <v>280</v>
      </c>
      <c r="M21" s="4">
        <f t="shared" si="1"/>
        <v>2021</v>
      </c>
      <c r="N21" s="4">
        <v>49.31</v>
      </c>
      <c r="O21" s="4">
        <f t="shared" si="2"/>
        <v>0.4174149338</v>
      </c>
      <c r="P21" s="4">
        <v>6.0</v>
      </c>
      <c r="Q21" s="4">
        <v>9.0</v>
      </c>
      <c r="R21" s="4">
        <v>8.0</v>
      </c>
      <c r="S21" s="4">
        <v>6.0</v>
      </c>
      <c r="T21" s="4">
        <v>8.0</v>
      </c>
      <c r="U21" s="4" t="s">
        <v>132</v>
      </c>
      <c r="V21" s="4" t="s">
        <v>281</v>
      </c>
      <c r="AC21" s="4" t="s">
        <v>282</v>
      </c>
      <c r="AD21" s="4" t="s">
        <v>283</v>
      </c>
      <c r="CZ21" s="4">
        <v>84.64</v>
      </c>
    </row>
    <row r="22" ht="15.75" customHeight="1">
      <c r="A22" s="4" t="s">
        <v>284</v>
      </c>
      <c r="B22" s="5" t="s">
        <v>285</v>
      </c>
      <c r="E22" s="4" t="s">
        <v>286</v>
      </c>
      <c r="F22" s="4" t="s">
        <v>117</v>
      </c>
      <c r="G22" s="4">
        <v>84.0</v>
      </c>
      <c r="H22" s="4" t="s">
        <v>106</v>
      </c>
      <c r="I22" s="4" t="s">
        <v>145</v>
      </c>
      <c r="J22" s="4" t="s">
        <v>287</v>
      </c>
      <c r="K22" s="4" t="s">
        <v>288</v>
      </c>
      <c r="L22" s="4" t="s">
        <v>289</v>
      </c>
      <c r="M22" s="4">
        <f t="shared" si="1"/>
        <v>2021</v>
      </c>
      <c r="N22" s="4">
        <v>50.46</v>
      </c>
      <c r="O22" s="4">
        <f t="shared" si="2"/>
        <v>0.3435670613</v>
      </c>
      <c r="P22" s="4">
        <v>7.0</v>
      </c>
      <c r="Q22" s="4">
        <v>8.0</v>
      </c>
      <c r="R22" s="4">
        <v>8.0</v>
      </c>
      <c r="S22" s="4">
        <v>6.0</v>
      </c>
      <c r="T22" s="4">
        <v>8.0</v>
      </c>
      <c r="U22" s="4" t="s">
        <v>122</v>
      </c>
      <c r="CG22" s="4" t="s">
        <v>290</v>
      </c>
      <c r="CO22" s="4" t="s">
        <v>291</v>
      </c>
      <c r="CP22" s="4" t="s">
        <v>292</v>
      </c>
      <c r="CZ22" s="4">
        <v>76.87</v>
      </c>
    </row>
    <row r="23" ht="15.75" hidden="1" customHeight="1">
      <c r="A23" s="4" t="s">
        <v>293</v>
      </c>
      <c r="B23" s="4" t="s">
        <v>294</v>
      </c>
      <c r="E23" s="4" t="s">
        <v>295</v>
      </c>
      <c r="F23" s="4" t="s">
        <v>105</v>
      </c>
      <c r="G23" s="4">
        <v>90.0</v>
      </c>
      <c r="H23" s="4" t="s">
        <v>129</v>
      </c>
      <c r="I23" s="4" t="s">
        <v>204</v>
      </c>
      <c r="J23" s="4" t="s">
        <v>296</v>
      </c>
      <c r="K23" s="4" t="s">
        <v>297</v>
      </c>
      <c r="L23" s="4" t="s">
        <v>298</v>
      </c>
      <c r="M23" s="4">
        <f t="shared" si="1"/>
        <v>1994</v>
      </c>
      <c r="N23" s="4">
        <v>840.25</v>
      </c>
      <c r="O23" s="4">
        <f t="shared" si="2"/>
        <v>0.4648089172</v>
      </c>
      <c r="P23" s="4">
        <v>9.0</v>
      </c>
      <c r="Q23" s="4">
        <v>8.0</v>
      </c>
      <c r="R23" s="4">
        <v>9.0</v>
      </c>
      <c r="S23" s="4">
        <v>9.0</v>
      </c>
      <c r="T23" s="4">
        <v>9.0</v>
      </c>
      <c r="U23" s="4" t="s">
        <v>111</v>
      </c>
      <c r="V23" s="4" t="s">
        <v>299</v>
      </c>
      <c r="BM23" s="4" t="s">
        <v>300</v>
      </c>
      <c r="CZ23" s="4">
        <v>1570.0</v>
      </c>
    </row>
    <row r="24" ht="15.75" customHeight="1">
      <c r="A24" s="4" t="s">
        <v>301</v>
      </c>
      <c r="B24" s="5" t="s">
        <v>302</v>
      </c>
      <c r="E24" s="4" t="s">
        <v>303</v>
      </c>
      <c r="F24" s="4" t="s">
        <v>105</v>
      </c>
      <c r="G24" s="4">
        <v>87.0</v>
      </c>
      <c r="H24" s="4" t="s">
        <v>230</v>
      </c>
      <c r="I24" s="4" t="s">
        <v>107</v>
      </c>
      <c r="J24" s="4" t="s">
        <v>304</v>
      </c>
      <c r="K24" s="4" t="s">
        <v>305</v>
      </c>
      <c r="L24" s="4" t="s">
        <v>306</v>
      </c>
      <c r="M24" s="4">
        <f t="shared" si="1"/>
        <v>2022</v>
      </c>
      <c r="N24" s="4">
        <v>4071.85</v>
      </c>
      <c r="O24" s="4">
        <f t="shared" si="2"/>
        <v>0.4794362056</v>
      </c>
      <c r="P24" s="4">
        <v>6.0</v>
      </c>
      <c r="Q24" s="4">
        <v>7.0</v>
      </c>
      <c r="R24" s="4">
        <v>10.0</v>
      </c>
      <c r="S24" s="4">
        <v>8.0</v>
      </c>
      <c r="T24" s="4">
        <v>8.0</v>
      </c>
      <c r="U24" s="4" t="s">
        <v>132</v>
      </c>
      <c r="AQ24" s="4" t="s">
        <v>307</v>
      </c>
      <c r="AR24" s="4" t="s">
        <v>308</v>
      </c>
      <c r="AS24" s="4" t="s">
        <v>309</v>
      </c>
      <c r="CZ24" s="4">
        <v>7822.0</v>
      </c>
    </row>
    <row r="25" ht="15.75" hidden="1" customHeight="1">
      <c r="A25" s="4" t="s">
        <v>310</v>
      </c>
      <c r="B25" s="4" t="s">
        <v>311</v>
      </c>
      <c r="E25" s="4" t="s">
        <v>312</v>
      </c>
      <c r="F25" s="4" t="s">
        <v>117</v>
      </c>
      <c r="G25" s="4">
        <v>88.0</v>
      </c>
      <c r="H25" s="4" t="s">
        <v>313</v>
      </c>
      <c r="I25" s="4" t="s">
        <v>107</v>
      </c>
      <c r="J25" s="4" t="s">
        <v>314</v>
      </c>
      <c r="K25" s="4" t="s">
        <v>147</v>
      </c>
      <c r="L25" s="4" t="s">
        <v>315</v>
      </c>
      <c r="M25" s="4">
        <f t="shared" si="1"/>
        <v>2015</v>
      </c>
      <c r="N25" s="4">
        <v>1001.81</v>
      </c>
      <c r="O25" s="4">
        <f t="shared" si="2"/>
        <v>0.07725112372</v>
      </c>
      <c r="P25" s="4">
        <v>7.0</v>
      </c>
      <c r="Q25" s="4">
        <v>9.0</v>
      </c>
      <c r="R25" s="4">
        <v>10.0</v>
      </c>
      <c r="S25" s="4">
        <v>8.0</v>
      </c>
      <c r="T25" s="4">
        <v>7.0</v>
      </c>
      <c r="U25" s="4" t="s">
        <v>132</v>
      </c>
      <c r="AC25" s="4" t="s">
        <v>316</v>
      </c>
      <c r="BI25" s="4" t="s">
        <v>317</v>
      </c>
      <c r="BJ25" s="4" t="s">
        <v>318</v>
      </c>
      <c r="CZ25" s="4">
        <v>1085.68</v>
      </c>
    </row>
    <row r="26" ht="15.75" customHeight="1">
      <c r="A26" s="4" t="s">
        <v>319</v>
      </c>
      <c r="B26" s="5" t="s">
        <v>320</v>
      </c>
      <c r="E26" s="4" t="s">
        <v>164</v>
      </c>
      <c r="F26" s="4" t="s">
        <v>117</v>
      </c>
      <c r="G26" s="4">
        <v>90.0</v>
      </c>
      <c r="H26" s="4" t="s">
        <v>278</v>
      </c>
      <c r="I26" s="4" t="s">
        <v>107</v>
      </c>
      <c r="J26" s="4" t="s">
        <v>321</v>
      </c>
      <c r="K26" s="4" t="s">
        <v>167</v>
      </c>
      <c r="L26" s="4" t="s">
        <v>322</v>
      </c>
      <c r="M26" s="4">
        <f t="shared" si="1"/>
        <v>2023</v>
      </c>
      <c r="N26" s="4">
        <v>33.59</v>
      </c>
      <c r="O26" s="4">
        <f t="shared" si="2"/>
        <v>0</v>
      </c>
      <c r="P26" s="4">
        <v>9.0</v>
      </c>
      <c r="Q26" s="4">
        <v>9.0</v>
      </c>
      <c r="R26" s="4">
        <v>9.0</v>
      </c>
      <c r="S26" s="4">
        <v>7.0</v>
      </c>
      <c r="T26" s="4">
        <v>8.0</v>
      </c>
      <c r="U26" s="4" t="s">
        <v>111</v>
      </c>
      <c r="V26" s="4" t="s">
        <v>323</v>
      </c>
      <c r="Z26" s="4" t="s">
        <v>139</v>
      </c>
      <c r="CD26" s="4" t="s">
        <v>324</v>
      </c>
      <c r="CZ26" s="4">
        <v>33.59</v>
      </c>
    </row>
    <row r="27" ht="15.75" customHeight="1">
      <c r="A27" s="4" t="s">
        <v>325</v>
      </c>
      <c r="B27" s="5" t="s">
        <v>326</v>
      </c>
      <c r="E27" s="4" t="s">
        <v>327</v>
      </c>
      <c r="F27" s="4" t="s">
        <v>105</v>
      </c>
      <c r="G27" s="4">
        <v>92.0</v>
      </c>
      <c r="H27" s="4" t="s">
        <v>106</v>
      </c>
      <c r="I27" s="4" t="s">
        <v>238</v>
      </c>
      <c r="J27" s="4" t="s">
        <v>328</v>
      </c>
      <c r="K27" s="4" t="s">
        <v>329</v>
      </c>
      <c r="L27" s="4" t="s">
        <v>330</v>
      </c>
      <c r="M27" s="4">
        <f t="shared" si="1"/>
        <v>2021</v>
      </c>
      <c r="N27" s="4">
        <v>3657.6</v>
      </c>
      <c r="O27" s="4">
        <f t="shared" si="2"/>
        <v>0.04301412873</v>
      </c>
      <c r="P27" s="4">
        <v>9.0</v>
      </c>
      <c r="Q27" s="4">
        <v>8.0</v>
      </c>
      <c r="R27" s="4">
        <v>10.0</v>
      </c>
      <c r="S27" s="4">
        <v>9.0</v>
      </c>
      <c r="T27" s="4">
        <v>8.0</v>
      </c>
      <c r="U27" s="4" t="s">
        <v>132</v>
      </c>
      <c r="AC27" s="4" t="s">
        <v>331</v>
      </c>
      <c r="BL27" s="4" t="s">
        <v>332</v>
      </c>
      <c r="BN27" s="4" t="s">
        <v>333</v>
      </c>
      <c r="CZ27" s="4">
        <v>3822.0</v>
      </c>
    </row>
    <row r="28" ht="15.75" customHeight="1">
      <c r="A28" s="4" t="s">
        <v>325</v>
      </c>
      <c r="B28" s="5" t="s">
        <v>326</v>
      </c>
      <c r="E28" s="4" t="s">
        <v>136</v>
      </c>
      <c r="F28" s="4" t="s">
        <v>105</v>
      </c>
      <c r="G28" s="4">
        <v>90.0</v>
      </c>
      <c r="H28" s="4" t="s">
        <v>118</v>
      </c>
      <c r="I28" s="4" t="s">
        <v>107</v>
      </c>
      <c r="J28" s="4" t="s">
        <v>334</v>
      </c>
      <c r="K28" s="4" t="s">
        <v>329</v>
      </c>
      <c r="L28" s="4" t="s">
        <v>330</v>
      </c>
      <c r="M28" s="4">
        <f t="shared" si="1"/>
        <v>2021</v>
      </c>
      <c r="N28" s="4">
        <v>3657.6</v>
      </c>
      <c r="O28" s="4">
        <f t="shared" si="2"/>
        <v>0.04301412873</v>
      </c>
      <c r="P28" s="4">
        <v>8.0</v>
      </c>
      <c r="Q28" s="4">
        <v>9.0</v>
      </c>
      <c r="R28" s="4">
        <v>10.0</v>
      </c>
      <c r="S28" s="4">
        <v>8.0</v>
      </c>
      <c r="T28" s="4">
        <v>6.0</v>
      </c>
      <c r="U28" s="4" t="s">
        <v>149</v>
      </c>
      <c r="V28" s="4" t="s">
        <v>335</v>
      </c>
      <c r="BR28" s="4" t="s">
        <v>336</v>
      </c>
      <c r="BS28" s="4" t="s">
        <v>337</v>
      </c>
      <c r="CZ28" s="4">
        <v>3822.0</v>
      </c>
    </row>
    <row r="29" ht="15.75" hidden="1" customHeight="1">
      <c r="A29" s="4" t="s">
        <v>338</v>
      </c>
      <c r="B29" s="4" t="s">
        <v>339</v>
      </c>
      <c r="E29" s="4" t="s">
        <v>340</v>
      </c>
      <c r="F29" s="4" t="s">
        <v>117</v>
      </c>
      <c r="G29" s="4">
        <v>86.0</v>
      </c>
      <c r="H29" s="4" t="s">
        <v>260</v>
      </c>
      <c r="I29" s="4" t="s">
        <v>107</v>
      </c>
      <c r="J29" s="4" t="s">
        <v>287</v>
      </c>
      <c r="K29" s="4" t="s">
        <v>120</v>
      </c>
      <c r="L29" s="4" t="s">
        <v>341</v>
      </c>
      <c r="M29" s="4">
        <f t="shared" si="1"/>
        <v>2010</v>
      </c>
      <c r="N29" s="4">
        <v>16.89</v>
      </c>
      <c r="O29" s="4">
        <f t="shared" si="2"/>
        <v>0.1887608069</v>
      </c>
      <c r="P29" s="4">
        <v>8.0</v>
      </c>
      <c r="Q29" s="4">
        <v>9.0</v>
      </c>
      <c r="R29" s="4">
        <v>9.0</v>
      </c>
      <c r="S29" s="4">
        <v>7.0</v>
      </c>
      <c r="T29" s="4">
        <v>7.0</v>
      </c>
      <c r="U29" s="4" t="s">
        <v>122</v>
      </c>
      <c r="V29" s="4" t="s">
        <v>342</v>
      </c>
      <c r="BU29" s="4" t="s">
        <v>343</v>
      </c>
      <c r="CK29" s="4" t="s">
        <v>344</v>
      </c>
      <c r="CZ29" s="4">
        <v>20.82</v>
      </c>
    </row>
    <row r="30" ht="15.75" hidden="1" customHeight="1">
      <c r="A30" s="4" t="s">
        <v>345</v>
      </c>
      <c r="B30" s="4" t="s">
        <v>346</v>
      </c>
      <c r="E30" s="4" t="s">
        <v>347</v>
      </c>
      <c r="F30" s="4" t="s">
        <v>117</v>
      </c>
      <c r="G30" s="4">
        <v>85.0</v>
      </c>
      <c r="H30" s="4" t="s">
        <v>313</v>
      </c>
      <c r="I30" s="4" t="s">
        <v>107</v>
      </c>
      <c r="J30" s="4" t="s">
        <v>348</v>
      </c>
      <c r="K30" s="4" t="s">
        <v>147</v>
      </c>
      <c r="L30" s="4" t="s">
        <v>349</v>
      </c>
      <c r="M30" s="4">
        <f t="shared" si="1"/>
        <v>2019</v>
      </c>
      <c r="N30" s="4">
        <v>201.75</v>
      </c>
      <c r="O30" s="4">
        <f t="shared" si="2"/>
        <v>0.2240384615</v>
      </c>
      <c r="P30" s="4">
        <v>7.0</v>
      </c>
      <c r="Q30" s="4">
        <v>9.0</v>
      </c>
      <c r="R30" s="4">
        <v>10.0</v>
      </c>
      <c r="S30" s="4">
        <v>8.0</v>
      </c>
      <c r="T30" s="4">
        <v>7.0</v>
      </c>
      <c r="U30" s="4" t="s">
        <v>132</v>
      </c>
      <c r="AC30" s="4" t="s">
        <v>350</v>
      </c>
      <c r="BG30" s="4" t="s">
        <v>351</v>
      </c>
      <c r="BH30" s="4" t="s">
        <v>352</v>
      </c>
      <c r="CZ30" s="4">
        <v>260.0</v>
      </c>
    </row>
    <row r="31" ht="15.75" customHeight="1">
      <c r="A31" s="4" t="s">
        <v>353</v>
      </c>
      <c r="B31" s="8" t="s">
        <v>354</v>
      </c>
      <c r="E31" s="4" t="s">
        <v>303</v>
      </c>
      <c r="F31" s="4" t="s">
        <v>105</v>
      </c>
      <c r="G31" s="4">
        <v>94.0</v>
      </c>
      <c r="H31" s="4" t="s">
        <v>129</v>
      </c>
      <c r="I31" s="4" t="s">
        <v>107</v>
      </c>
      <c r="J31" s="4" t="s">
        <v>355</v>
      </c>
      <c r="K31" s="4" t="s">
        <v>356</v>
      </c>
      <c r="L31" s="4" t="s">
        <v>357</v>
      </c>
      <c r="M31" s="4">
        <f t="shared" si="1"/>
        <v>2023</v>
      </c>
      <c r="N31" s="4">
        <v>4368.4</v>
      </c>
      <c r="O31" s="4">
        <f t="shared" si="2"/>
        <v>0.02469301183</v>
      </c>
      <c r="P31" s="4">
        <v>8.0</v>
      </c>
      <c r="Q31" s="4">
        <v>9.0</v>
      </c>
      <c r="R31" s="4">
        <v>10.0</v>
      </c>
      <c r="S31" s="4">
        <v>9.0</v>
      </c>
      <c r="T31" s="4">
        <v>9.0</v>
      </c>
      <c r="U31" s="4" t="s">
        <v>132</v>
      </c>
      <c r="V31" s="4" t="s">
        <v>358</v>
      </c>
      <c r="AO31" s="4" t="s">
        <v>359</v>
      </c>
      <c r="AP31" s="4" t="s">
        <v>360</v>
      </c>
      <c r="CZ31" s="4">
        <v>4479.0</v>
      </c>
    </row>
    <row r="32" ht="15.75" customHeight="1">
      <c r="A32" s="4" t="s">
        <v>353</v>
      </c>
      <c r="B32" s="5" t="s">
        <v>354</v>
      </c>
      <c r="C32" s="10"/>
      <c r="E32" s="4" t="s">
        <v>136</v>
      </c>
      <c r="F32" s="4" t="s">
        <v>105</v>
      </c>
      <c r="G32" s="4">
        <v>92.0</v>
      </c>
      <c r="H32" s="4" t="s">
        <v>106</v>
      </c>
      <c r="I32" s="4" t="s">
        <v>107</v>
      </c>
      <c r="J32" s="4" t="s">
        <v>361</v>
      </c>
      <c r="K32" s="4" t="s">
        <v>356</v>
      </c>
      <c r="L32" s="4" t="s">
        <v>357</v>
      </c>
      <c r="M32" s="4">
        <f t="shared" si="1"/>
        <v>2023</v>
      </c>
      <c r="N32" s="4">
        <v>4368.4</v>
      </c>
      <c r="O32" s="4">
        <f t="shared" si="2"/>
        <v>0.02469301183</v>
      </c>
      <c r="P32" s="4">
        <v>8.0</v>
      </c>
      <c r="Q32" s="4">
        <v>9.0</v>
      </c>
      <c r="R32" s="4">
        <v>10.0</v>
      </c>
      <c r="S32" s="4">
        <v>7.0</v>
      </c>
      <c r="T32" s="4">
        <v>8.0</v>
      </c>
      <c r="U32" s="4" t="s">
        <v>149</v>
      </c>
      <c r="V32" s="4" t="s">
        <v>360</v>
      </c>
      <c r="BS32" s="4" t="s">
        <v>362</v>
      </c>
      <c r="BT32" s="4" t="s">
        <v>363</v>
      </c>
      <c r="CZ32" s="4">
        <v>4479.0</v>
      </c>
    </row>
    <row r="33" ht="15.75" hidden="1" customHeight="1">
      <c r="A33" s="4" t="s">
        <v>364</v>
      </c>
      <c r="B33" s="4" t="s">
        <v>365</v>
      </c>
      <c r="E33" s="4" t="s">
        <v>182</v>
      </c>
      <c r="F33" s="4" t="s">
        <v>117</v>
      </c>
      <c r="G33" s="4">
        <v>82.0</v>
      </c>
      <c r="H33" s="4" t="s">
        <v>129</v>
      </c>
      <c r="I33" s="4" t="s">
        <v>145</v>
      </c>
      <c r="J33" s="4" t="s">
        <v>366</v>
      </c>
      <c r="K33" s="4" t="s">
        <v>186</v>
      </c>
      <c r="L33" s="4" t="s">
        <v>367</v>
      </c>
      <c r="M33" s="4">
        <f t="shared" si="1"/>
        <v>2016</v>
      </c>
      <c r="N33" s="4">
        <v>12.69</v>
      </c>
      <c r="O33" s="4">
        <f t="shared" si="2"/>
        <v>0.4924</v>
      </c>
      <c r="P33" s="4">
        <v>9.0</v>
      </c>
      <c r="Q33" s="4">
        <v>9.0</v>
      </c>
      <c r="R33" s="4">
        <v>6.0</v>
      </c>
      <c r="S33" s="4">
        <v>6.0</v>
      </c>
      <c r="T33" s="4">
        <v>8.0</v>
      </c>
      <c r="U33" s="4" t="s">
        <v>132</v>
      </c>
      <c r="AJ33" s="4" t="s">
        <v>321</v>
      </c>
      <c r="AK33" s="4" t="s">
        <v>368</v>
      </c>
      <c r="AL33" s="4" t="s">
        <v>369</v>
      </c>
      <c r="CZ33" s="4">
        <v>25.0</v>
      </c>
    </row>
    <row r="34" ht="15.75" customHeight="1">
      <c r="A34" s="4" t="s">
        <v>370</v>
      </c>
      <c r="B34" s="5" t="s">
        <v>371</v>
      </c>
      <c r="E34" s="4" t="s">
        <v>372</v>
      </c>
      <c r="F34" s="4" t="s">
        <v>117</v>
      </c>
      <c r="G34" s="4">
        <v>82.0</v>
      </c>
      <c r="H34" s="4" t="s">
        <v>278</v>
      </c>
      <c r="I34" s="4" t="s">
        <v>145</v>
      </c>
      <c r="J34" s="4" t="s">
        <v>373</v>
      </c>
      <c r="K34" s="4" t="s">
        <v>374</v>
      </c>
      <c r="L34" s="4" t="s">
        <v>375</v>
      </c>
      <c r="M34" s="4">
        <f t="shared" si="1"/>
        <v>2024</v>
      </c>
      <c r="N34" s="4">
        <v>58.56</v>
      </c>
      <c r="O34" s="4">
        <f t="shared" si="2"/>
        <v>0.6978951713</v>
      </c>
      <c r="P34" s="4">
        <v>8.0</v>
      </c>
      <c r="Q34" s="4">
        <v>10.0</v>
      </c>
      <c r="R34" s="4">
        <v>9.0</v>
      </c>
      <c r="S34" s="4">
        <v>4.0</v>
      </c>
      <c r="T34" s="4">
        <v>9.0</v>
      </c>
      <c r="U34" s="4" t="s">
        <v>122</v>
      </c>
      <c r="AM34" s="4" t="s">
        <v>376</v>
      </c>
      <c r="CJ34" s="4" t="s">
        <v>377</v>
      </c>
      <c r="CZ34" s="4">
        <v>193.84</v>
      </c>
    </row>
    <row r="35" ht="15.75" hidden="1" customHeight="1">
      <c r="A35" s="4" t="s">
        <v>378</v>
      </c>
      <c r="B35" s="4" t="s">
        <v>379</v>
      </c>
      <c r="E35" s="4" t="s">
        <v>380</v>
      </c>
      <c r="F35" s="4" t="s">
        <v>105</v>
      </c>
      <c r="G35" s="4">
        <v>86.0</v>
      </c>
      <c r="H35" s="4" t="s">
        <v>183</v>
      </c>
      <c r="I35" s="4" t="s">
        <v>107</v>
      </c>
      <c r="J35" s="4" t="s">
        <v>112</v>
      </c>
      <c r="K35" s="4" t="s">
        <v>380</v>
      </c>
      <c r="L35" s="4" t="s">
        <v>381</v>
      </c>
      <c r="M35" s="4">
        <f t="shared" si="1"/>
        <v>2015</v>
      </c>
      <c r="N35" s="4">
        <v>790.0</v>
      </c>
      <c r="O35" s="4">
        <f t="shared" si="2"/>
        <v>0</v>
      </c>
      <c r="P35" s="4">
        <v>8.0</v>
      </c>
      <c r="Q35" s="4">
        <v>8.0</v>
      </c>
      <c r="R35" s="4">
        <v>9.0</v>
      </c>
      <c r="S35" s="4">
        <v>7.0</v>
      </c>
      <c r="T35" s="4">
        <v>8.0</v>
      </c>
      <c r="U35" s="4" t="s">
        <v>111</v>
      </c>
      <c r="V35" s="4" t="s">
        <v>382</v>
      </c>
      <c r="AC35" s="4" t="s">
        <v>383</v>
      </c>
      <c r="CZ35" s="4">
        <v>790.0</v>
      </c>
    </row>
    <row r="36" ht="15.75" customHeight="1">
      <c r="A36" s="4" t="s">
        <v>384</v>
      </c>
      <c r="B36" s="5" t="s">
        <v>385</v>
      </c>
      <c r="E36" s="4" t="s">
        <v>386</v>
      </c>
      <c r="F36" s="4" t="s">
        <v>105</v>
      </c>
      <c r="G36" s="4">
        <v>85.0</v>
      </c>
      <c r="H36" s="4" t="s">
        <v>278</v>
      </c>
      <c r="I36" s="4" t="s">
        <v>145</v>
      </c>
      <c r="J36" s="4" t="s">
        <v>387</v>
      </c>
      <c r="K36" s="4" t="s">
        <v>388</v>
      </c>
      <c r="L36" s="4" t="s">
        <v>225</v>
      </c>
      <c r="M36" s="4">
        <f t="shared" si="1"/>
        <v>2024</v>
      </c>
      <c r="N36" s="4">
        <v>188.0</v>
      </c>
      <c r="O36" s="4">
        <f t="shared" si="2"/>
        <v>0.7344257664</v>
      </c>
      <c r="P36" s="4">
        <v>8.0</v>
      </c>
      <c r="Q36" s="4">
        <v>8.0</v>
      </c>
      <c r="R36" s="4">
        <v>9.0</v>
      </c>
      <c r="S36" s="4">
        <v>7.0</v>
      </c>
      <c r="T36" s="4">
        <v>9.0</v>
      </c>
      <c r="U36" s="4" t="s">
        <v>111</v>
      </c>
      <c r="V36" s="4" t="s">
        <v>389</v>
      </c>
      <c r="AC36" s="4" t="s">
        <v>390</v>
      </c>
      <c r="CZ36" s="4">
        <v>707.9</v>
      </c>
    </row>
    <row r="37" ht="15.75" hidden="1" customHeight="1">
      <c r="A37" s="4" t="s">
        <v>391</v>
      </c>
      <c r="B37" s="4" t="s">
        <v>392</v>
      </c>
      <c r="E37" s="4" t="s">
        <v>393</v>
      </c>
      <c r="F37" s="4" t="s">
        <v>105</v>
      </c>
      <c r="G37" s="4">
        <v>84.0</v>
      </c>
      <c r="H37" s="4" t="s">
        <v>394</v>
      </c>
      <c r="I37" s="4" t="s">
        <v>107</v>
      </c>
      <c r="J37" s="4" t="s">
        <v>269</v>
      </c>
      <c r="K37" s="4" t="s">
        <v>395</v>
      </c>
      <c r="L37" s="4" t="s">
        <v>396</v>
      </c>
      <c r="M37" s="4">
        <f t="shared" si="1"/>
        <v>2011</v>
      </c>
      <c r="N37" s="4">
        <v>627.55</v>
      </c>
      <c r="O37" s="4">
        <f t="shared" si="2"/>
        <v>0.4051658768</v>
      </c>
      <c r="P37" s="4">
        <v>8.0</v>
      </c>
      <c r="Q37" s="4">
        <v>7.0</v>
      </c>
      <c r="R37" s="4">
        <v>8.0</v>
      </c>
      <c r="S37" s="4">
        <v>8.0</v>
      </c>
      <c r="T37" s="4">
        <v>7.0</v>
      </c>
      <c r="U37" s="4" t="s">
        <v>122</v>
      </c>
      <c r="CI37" s="4" t="s">
        <v>397</v>
      </c>
      <c r="CN37" s="4" t="s">
        <v>398</v>
      </c>
      <c r="CZ37" s="4">
        <v>1055.0</v>
      </c>
    </row>
    <row r="38" ht="15.75" hidden="1" customHeight="1">
      <c r="A38" s="4" t="s">
        <v>399</v>
      </c>
      <c r="B38" s="4" t="s">
        <v>400</v>
      </c>
      <c r="E38" s="4" t="s">
        <v>295</v>
      </c>
      <c r="F38" s="4" t="s">
        <v>105</v>
      </c>
      <c r="G38" s="4">
        <v>83.0</v>
      </c>
      <c r="H38" s="4" t="s">
        <v>313</v>
      </c>
      <c r="I38" s="4" t="s">
        <v>204</v>
      </c>
      <c r="J38" s="4" t="s">
        <v>401</v>
      </c>
      <c r="K38" s="4" t="s">
        <v>297</v>
      </c>
      <c r="L38" s="4" t="s">
        <v>402</v>
      </c>
      <c r="M38" s="4">
        <f t="shared" si="1"/>
        <v>1946</v>
      </c>
      <c r="N38" s="4">
        <v>3085.9</v>
      </c>
      <c r="O38" s="4">
        <f t="shared" si="2"/>
        <v>0.2873210162</v>
      </c>
      <c r="P38" s="4">
        <v>8.0</v>
      </c>
      <c r="Q38" s="4">
        <v>8.0</v>
      </c>
      <c r="R38" s="4">
        <v>9.0</v>
      </c>
      <c r="S38" s="4">
        <v>9.0</v>
      </c>
      <c r="T38" s="4">
        <v>6.0</v>
      </c>
      <c r="U38" s="4" t="s">
        <v>132</v>
      </c>
      <c r="V38" s="4" t="s">
        <v>403</v>
      </c>
      <c r="AO38" s="4" t="s">
        <v>404</v>
      </c>
      <c r="BO38" s="4" t="s">
        <v>405</v>
      </c>
      <c r="CZ38" s="4">
        <v>4330.0</v>
      </c>
    </row>
    <row r="39" ht="15.75" hidden="1" customHeight="1">
      <c r="A39" s="4" t="s">
        <v>406</v>
      </c>
      <c r="B39" s="4" t="s">
        <v>407</v>
      </c>
      <c r="E39" s="4" t="s">
        <v>128</v>
      </c>
      <c r="F39" s="4" t="s">
        <v>117</v>
      </c>
      <c r="G39" s="4">
        <v>82.0</v>
      </c>
      <c r="H39" s="4" t="s">
        <v>313</v>
      </c>
      <c r="I39" s="4" t="s">
        <v>145</v>
      </c>
      <c r="J39" s="4" t="s">
        <v>408</v>
      </c>
      <c r="K39" s="4" t="s">
        <v>147</v>
      </c>
      <c r="L39" s="4" t="s">
        <v>409</v>
      </c>
      <c r="M39" s="4">
        <f t="shared" si="1"/>
        <v>2020</v>
      </c>
      <c r="N39" s="4">
        <v>135.14</v>
      </c>
      <c r="O39" s="4">
        <f t="shared" si="2"/>
        <v>0.3487856592</v>
      </c>
      <c r="P39" s="4">
        <v>6.0</v>
      </c>
      <c r="Q39" s="4">
        <v>9.0</v>
      </c>
      <c r="R39" s="4">
        <v>9.0</v>
      </c>
      <c r="S39" s="4">
        <v>7.0</v>
      </c>
      <c r="T39" s="4">
        <v>6.0</v>
      </c>
      <c r="U39" s="4" t="s">
        <v>132</v>
      </c>
      <c r="V39" s="4" t="s">
        <v>279</v>
      </c>
      <c r="AA39" s="4" t="s">
        <v>410</v>
      </c>
      <c r="AB39" s="4" t="s">
        <v>411</v>
      </c>
      <c r="CZ39" s="4">
        <v>207.52</v>
      </c>
    </row>
    <row r="40" ht="15.75" customHeight="1">
      <c r="A40" s="4" t="s">
        <v>412</v>
      </c>
      <c r="B40" s="5" t="s">
        <v>413</v>
      </c>
      <c r="E40" s="4" t="s">
        <v>155</v>
      </c>
      <c r="F40" s="4" t="s">
        <v>117</v>
      </c>
      <c r="G40" s="4">
        <v>87.0</v>
      </c>
      <c r="H40" s="4" t="s">
        <v>174</v>
      </c>
      <c r="I40" s="4" t="s">
        <v>107</v>
      </c>
      <c r="J40" s="4" t="s">
        <v>185</v>
      </c>
      <c r="K40" s="4" t="s">
        <v>414</v>
      </c>
      <c r="L40" s="4" t="s">
        <v>415</v>
      </c>
      <c r="M40" s="4">
        <f t="shared" si="1"/>
        <v>2021</v>
      </c>
      <c r="N40" s="4">
        <v>29.61</v>
      </c>
      <c r="O40" s="4">
        <f t="shared" si="2"/>
        <v>0.5570680628</v>
      </c>
      <c r="P40" s="4">
        <v>8.0</v>
      </c>
      <c r="Q40" s="4">
        <v>8.0</v>
      </c>
      <c r="R40" s="4">
        <v>9.0</v>
      </c>
      <c r="S40" s="4">
        <v>8.0</v>
      </c>
      <c r="T40" s="4">
        <v>7.0</v>
      </c>
      <c r="U40" s="4" t="s">
        <v>111</v>
      </c>
      <c r="V40" s="4" t="s">
        <v>416</v>
      </c>
      <c r="AC40" s="4" t="s">
        <v>417</v>
      </c>
      <c r="BX40" s="4" t="s">
        <v>418</v>
      </c>
      <c r="CZ40" s="4">
        <v>66.85</v>
      </c>
    </row>
    <row r="41" ht="15.75" customHeight="1">
      <c r="A41" s="4" t="s">
        <v>419</v>
      </c>
      <c r="B41" s="5" t="s">
        <v>420</v>
      </c>
      <c r="E41" s="4" t="s">
        <v>421</v>
      </c>
      <c r="F41" s="4" t="s">
        <v>105</v>
      </c>
      <c r="G41" s="4">
        <v>85.0</v>
      </c>
      <c r="H41" s="4" t="s">
        <v>422</v>
      </c>
      <c r="I41" s="4" t="s">
        <v>107</v>
      </c>
      <c r="J41" s="4" t="s">
        <v>423</v>
      </c>
      <c r="K41" s="4" t="s">
        <v>424</v>
      </c>
      <c r="L41" s="4" t="s">
        <v>425</v>
      </c>
      <c r="M41" s="4">
        <f t="shared" si="1"/>
        <v>2024</v>
      </c>
      <c r="N41" s="4">
        <v>943.3</v>
      </c>
      <c r="O41" s="4">
        <f t="shared" si="2"/>
        <v>0.1895351834</v>
      </c>
      <c r="P41" s="4">
        <v>8.0</v>
      </c>
      <c r="Q41" s="4">
        <v>7.0</v>
      </c>
      <c r="R41" s="4">
        <v>9.0</v>
      </c>
      <c r="S41" s="4">
        <v>8.0</v>
      </c>
      <c r="T41" s="4">
        <v>7.0</v>
      </c>
      <c r="U41" s="4" t="s">
        <v>122</v>
      </c>
      <c r="CI41" s="4" t="s">
        <v>426</v>
      </c>
      <c r="CU41" s="4" t="s">
        <v>427</v>
      </c>
      <c r="CV41" s="4" t="s">
        <v>428</v>
      </c>
      <c r="CZ41" s="4">
        <v>1163.9</v>
      </c>
    </row>
    <row r="42" ht="15.75" customHeight="1">
      <c r="A42" s="4" t="s">
        <v>429</v>
      </c>
      <c r="B42" s="5" t="s">
        <v>430</v>
      </c>
      <c r="E42" s="4" t="s">
        <v>431</v>
      </c>
      <c r="F42" s="4" t="s">
        <v>117</v>
      </c>
      <c r="G42" s="4">
        <v>85.0</v>
      </c>
      <c r="H42" s="4" t="s">
        <v>106</v>
      </c>
      <c r="I42" s="4" t="s">
        <v>145</v>
      </c>
      <c r="J42" s="4" t="s">
        <v>432</v>
      </c>
      <c r="K42" s="4" t="s">
        <v>167</v>
      </c>
      <c r="L42" s="4" t="s">
        <v>433</v>
      </c>
      <c r="M42" s="4">
        <f t="shared" si="1"/>
        <v>2021</v>
      </c>
      <c r="N42" s="4">
        <v>131.16</v>
      </c>
      <c r="O42" s="4">
        <f t="shared" si="2"/>
        <v>0</v>
      </c>
      <c r="P42" s="4">
        <v>9.0</v>
      </c>
      <c r="Q42" s="4">
        <v>9.0</v>
      </c>
      <c r="R42" s="4">
        <v>10.0</v>
      </c>
      <c r="S42" s="4">
        <v>8.0</v>
      </c>
      <c r="T42" s="4">
        <v>7.0</v>
      </c>
      <c r="U42" s="4" t="s">
        <v>132</v>
      </c>
      <c r="Z42" s="4" t="s">
        <v>434</v>
      </c>
      <c r="AC42" s="4" t="s">
        <v>435</v>
      </c>
      <c r="BK42" s="4" t="s">
        <v>161</v>
      </c>
      <c r="CZ42" s="4">
        <v>131.16</v>
      </c>
    </row>
    <row r="43" ht="15.75" customHeight="1">
      <c r="A43" s="4" t="s">
        <v>429</v>
      </c>
      <c r="B43" s="5" t="s">
        <v>430</v>
      </c>
      <c r="E43" s="4" t="s">
        <v>164</v>
      </c>
      <c r="F43" s="4" t="s">
        <v>117</v>
      </c>
      <c r="G43" s="4">
        <v>93.0</v>
      </c>
      <c r="H43" s="4" t="s">
        <v>183</v>
      </c>
      <c r="I43" s="4" t="s">
        <v>107</v>
      </c>
      <c r="J43" s="4" t="s">
        <v>436</v>
      </c>
      <c r="K43" s="4" t="s">
        <v>167</v>
      </c>
      <c r="L43" s="4" t="s">
        <v>433</v>
      </c>
      <c r="M43" s="4">
        <f t="shared" si="1"/>
        <v>2021</v>
      </c>
      <c r="N43" s="4">
        <v>131.16</v>
      </c>
      <c r="O43" s="4">
        <f t="shared" si="2"/>
        <v>0</v>
      </c>
      <c r="P43" s="4">
        <v>9.0</v>
      </c>
      <c r="Q43" s="4">
        <v>9.0</v>
      </c>
      <c r="R43" s="4">
        <v>10.0</v>
      </c>
      <c r="S43" s="4">
        <v>8.0</v>
      </c>
      <c r="T43" s="4">
        <v>9.0</v>
      </c>
      <c r="U43" s="4" t="s">
        <v>149</v>
      </c>
      <c r="V43" s="4" t="s">
        <v>323</v>
      </c>
      <c r="Z43" s="4" t="s">
        <v>437</v>
      </c>
      <c r="BX43" s="4" t="s">
        <v>438</v>
      </c>
      <c r="CZ43" s="4">
        <v>131.16</v>
      </c>
    </row>
    <row r="44" ht="15.75" hidden="1" customHeight="1">
      <c r="A44" s="4" t="s">
        <v>439</v>
      </c>
      <c r="B44" s="4" t="s">
        <v>440</v>
      </c>
      <c r="E44" s="4" t="s">
        <v>136</v>
      </c>
      <c r="F44" s="4" t="s">
        <v>105</v>
      </c>
      <c r="G44" s="4">
        <v>85.0</v>
      </c>
      <c r="H44" s="4" t="s">
        <v>260</v>
      </c>
      <c r="I44" s="4" t="s">
        <v>204</v>
      </c>
      <c r="J44" s="4" t="s">
        <v>441</v>
      </c>
      <c r="K44" s="4" t="s">
        <v>442</v>
      </c>
      <c r="L44" s="4" t="s">
        <v>443</v>
      </c>
      <c r="M44" s="4">
        <f t="shared" si="1"/>
        <v>2018</v>
      </c>
      <c r="N44" s="4">
        <v>15.95</v>
      </c>
      <c r="O44" s="4">
        <f t="shared" si="2"/>
        <v>0.4563735515</v>
      </c>
      <c r="P44" s="4">
        <v>8.0</v>
      </c>
      <c r="Q44" s="4">
        <v>7.0</v>
      </c>
      <c r="R44" s="4">
        <v>9.0</v>
      </c>
      <c r="S44" s="4">
        <v>8.0</v>
      </c>
      <c r="T44" s="4">
        <v>7.0</v>
      </c>
      <c r="U44" s="4" t="s">
        <v>149</v>
      </c>
      <c r="V44" s="4" t="s">
        <v>444</v>
      </c>
      <c r="BR44" s="4" t="s">
        <v>445</v>
      </c>
      <c r="BT44" s="4" t="s">
        <v>446</v>
      </c>
      <c r="CZ44" s="4">
        <v>29.34</v>
      </c>
    </row>
    <row r="45" ht="15.75" customHeight="1">
      <c r="A45" s="4" t="s">
        <v>447</v>
      </c>
      <c r="B45" s="8" t="s">
        <v>448</v>
      </c>
      <c r="C45" s="9" t="s">
        <v>222</v>
      </c>
      <c r="E45" s="4" t="s">
        <v>449</v>
      </c>
      <c r="F45" s="4" t="s">
        <v>105</v>
      </c>
      <c r="G45" s="4">
        <v>82.0</v>
      </c>
      <c r="H45" s="4" t="s">
        <v>183</v>
      </c>
      <c r="I45" s="4" t="s">
        <v>107</v>
      </c>
      <c r="J45" s="4" t="s">
        <v>450</v>
      </c>
      <c r="K45" s="4" t="s">
        <v>451</v>
      </c>
      <c r="L45" s="4" t="s">
        <v>452</v>
      </c>
      <c r="M45" s="4">
        <f t="shared" si="1"/>
        <v>2025</v>
      </c>
      <c r="N45" s="4">
        <v>268.95</v>
      </c>
      <c r="O45" s="4">
        <f t="shared" si="2"/>
        <v>0.1568965517</v>
      </c>
      <c r="P45" s="4">
        <v>8.0</v>
      </c>
      <c r="Q45" s="4">
        <v>7.0</v>
      </c>
      <c r="R45" s="4">
        <v>9.0</v>
      </c>
      <c r="S45" s="4">
        <v>8.0</v>
      </c>
      <c r="T45" s="4">
        <v>7.0</v>
      </c>
      <c r="U45" s="4" t="s">
        <v>111</v>
      </c>
      <c r="V45" s="4" t="s">
        <v>453</v>
      </c>
      <c r="CG45" s="4" t="s">
        <v>454</v>
      </c>
      <c r="CZ45" s="4">
        <v>319.0</v>
      </c>
    </row>
    <row r="46" ht="15.75" hidden="1" customHeight="1">
      <c r="A46" s="4" t="s">
        <v>455</v>
      </c>
      <c r="B46" s="4" t="s">
        <v>456</v>
      </c>
      <c r="E46" s="4" t="s">
        <v>457</v>
      </c>
      <c r="F46" s="4" t="s">
        <v>117</v>
      </c>
      <c r="G46" s="4">
        <v>89.0</v>
      </c>
      <c r="H46" s="4" t="s">
        <v>193</v>
      </c>
      <c r="I46" s="4" t="s">
        <v>107</v>
      </c>
      <c r="J46" s="4" t="s">
        <v>373</v>
      </c>
      <c r="K46" s="4" t="s">
        <v>120</v>
      </c>
      <c r="L46" s="4" t="s">
        <v>458</v>
      </c>
      <c r="M46" s="4">
        <f t="shared" si="1"/>
        <v>2005</v>
      </c>
      <c r="N46" s="4">
        <v>218.78</v>
      </c>
      <c r="O46" s="4">
        <f t="shared" si="2"/>
        <v>0.04596197453</v>
      </c>
      <c r="P46" s="4">
        <v>8.0</v>
      </c>
      <c r="Q46" s="4">
        <v>9.0</v>
      </c>
      <c r="R46" s="4">
        <v>9.0</v>
      </c>
      <c r="S46" s="4">
        <v>8.0</v>
      </c>
      <c r="T46" s="4">
        <v>7.0</v>
      </c>
      <c r="U46" s="4" t="s">
        <v>122</v>
      </c>
      <c r="V46" s="4" t="s">
        <v>459</v>
      </c>
      <c r="AC46" s="4" t="s">
        <v>460</v>
      </c>
      <c r="CJ46" s="4" t="s">
        <v>461</v>
      </c>
      <c r="CZ46" s="4">
        <v>229.32</v>
      </c>
    </row>
    <row r="47" ht="15.75" hidden="1" customHeight="1">
      <c r="A47" s="4" t="s">
        <v>462</v>
      </c>
      <c r="B47" s="4" t="s">
        <v>463</v>
      </c>
      <c r="E47" s="4" t="s">
        <v>464</v>
      </c>
      <c r="F47" s="4" t="s">
        <v>117</v>
      </c>
      <c r="G47" s="4">
        <v>88.0</v>
      </c>
      <c r="H47" s="4" t="s">
        <v>313</v>
      </c>
      <c r="I47" s="4" t="s">
        <v>145</v>
      </c>
      <c r="J47" s="4" t="s">
        <v>465</v>
      </c>
      <c r="K47" s="4" t="s">
        <v>147</v>
      </c>
      <c r="L47" s="4" t="s">
        <v>466</v>
      </c>
      <c r="M47" s="4">
        <f t="shared" si="1"/>
        <v>1995</v>
      </c>
      <c r="N47" s="4">
        <v>1323.51</v>
      </c>
      <c r="O47" s="4">
        <f t="shared" si="2"/>
        <v>0.17280625</v>
      </c>
      <c r="P47" s="4">
        <v>8.0</v>
      </c>
      <c r="Q47" s="4">
        <v>8.0</v>
      </c>
      <c r="R47" s="4">
        <v>9.0</v>
      </c>
      <c r="S47" s="4">
        <v>7.0</v>
      </c>
      <c r="T47" s="4">
        <v>8.0</v>
      </c>
      <c r="U47" s="4" t="s">
        <v>122</v>
      </c>
      <c r="CJ47" s="4" t="s">
        <v>467</v>
      </c>
      <c r="CL47" s="4" t="s">
        <v>468</v>
      </c>
      <c r="CM47" s="4" t="s">
        <v>469</v>
      </c>
      <c r="CZ47" s="4">
        <v>1600.0</v>
      </c>
    </row>
    <row r="48" ht="15.75" customHeight="1">
      <c r="A48" s="4" t="s">
        <v>470</v>
      </c>
      <c r="B48" s="5" t="s">
        <v>471</v>
      </c>
      <c r="E48" s="4" t="s">
        <v>472</v>
      </c>
      <c r="F48" s="4" t="s">
        <v>117</v>
      </c>
      <c r="G48" s="4">
        <v>84.0</v>
      </c>
      <c r="H48" s="4" t="s">
        <v>473</v>
      </c>
      <c r="I48" s="4" t="s">
        <v>145</v>
      </c>
      <c r="J48" s="4" t="s">
        <v>474</v>
      </c>
      <c r="K48" s="4" t="s">
        <v>472</v>
      </c>
      <c r="L48" s="4" t="s">
        <v>158</v>
      </c>
      <c r="M48" s="4">
        <f t="shared" si="1"/>
        <v>2021</v>
      </c>
      <c r="N48" s="4">
        <v>8.35</v>
      </c>
      <c r="O48" s="4">
        <f t="shared" si="2"/>
        <v>0.4433333333</v>
      </c>
      <c r="P48" s="4">
        <v>8.0</v>
      </c>
      <c r="Q48" s="4">
        <v>9.0</v>
      </c>
      <c r="R48" s="4">
        <v>9.0</v>
      </c>
      <c r="S48" s="4">
        <v>6.0</v>
      </c>
      <c r="T48" s="4">
        <v>8.0</v>
      </c>
      <c r="U48" s="4" t="s">
        <v>111</v>
      </c>
      <c r="V48" s="4" t="s">
        <v>475</v>
      </c>
      <c r="Z48" s="4" t="s">
        <v>476</v>
      </c>
      <c r="AC48" s="4" t="s">
        <v>477</v>
      </c>
      <c r="CZ48" s="4">
        <v>15.0</v>
      </c>
    </row>
    <row r="49" ht="15.75" hidden="1" customHeight="1">
      <c r="A49" s="4" t="s">
        <v>478</v>
      </c>
      <c r="B49" s="4" t="s">
        <v>479</v>
      </c>
      <c r="E49" s="4" t="s">
        <v>480</v>
      </c>
      <c r="F49" s="4" t="s">
        <v>117</v>
      </c>
      <c r="G49" s="4">
        <v>86.0</v>
      </c>
      <c r="H49" s="4" t="s">
        <v>106</v>
      </c>
      <c r="I49" s="4" t="s">
        <v>238</v>
      </c>
      <c r="J49" s="4" t="s">
        <v>481</v>
      </c>
      <c r="K49" s="4" t="s">
        <v>155</v>
      </c>
      <c r="L49" s="4" t="s">
        <v>482</v>
      </c>
      <c r="M49" s="4">
        <f t="shared" si="1"/>
        <v>2020</v>
      </c>
      <c r="N49" s="4">
        <v>57.56</v>
      </c>
      <c r="O49" s="4">
        <f t="shared" si="2"/>
        <v>0.3450159308</v>
      </c>
      <c r="P49" s="4">
        <v>8.0</v>
      </c>
      <c r="Q49" s="4">
        <v>8.0</v>
      </c>
      <c r="R49" s="4">
        <v>10.0</v>
      </c>
      <c r="S49" s="4">
        <v>8.0</v>
      </c>
      <c r="T49" s="4">
        <v>7.0</v>
      </c>
      <c r="U49" s="4" t="s">
        <v>132</v>
      </c>
      <c r="AE49" s="4" t="s">
        <v>483</v>
      </c>
      <c r="AF49" s="4" t="s">
        <v>484</v>
      </c>
      <c r="AG49" s="4" t="s">
        <v>485</v>
      </c>
      <c r="CZ49" s="4">
        <v>87.88</v>
      </c>
    </row>
    <row r="50" ht="15.75" customHeight="1">
      <c r="A50" s="4" t="s">
        <v>486</v>
      </c>
      <c r="B50" s="5" t="s">
        <v>487</v>
      </c>
      <c r="E50" s="4" t="s">
        <v>303</v>
      </c>
      <c r="F50" s="4" t="s">
        <v>105</v>
      </c>
      <c r="G50" s="4">
        <v>88.0</v>
      </c>
      <c r="H50" s="4" t="s">
        <v>193</v>
      </c>
      <c r="I50" s="4" t="s">
        <v>107</v>
      </c>
      <c r="J50" s="4" t="s">
        <v>488</v>
      </c>
      <c r="K50" s="4" t="s">
        <v>489</v>
      </c>
      <c r="L50" s="4" t="s">
        <v>490</v>
      </c>
      <c r="M50" s="4">
        <f t="shared" si="1"/>
        <v>2022</v>
      </c>
      <c r="N50" s="4">
        <v>1013.0</v>
      </c>
      <c r="O50" s="4">
        <f t="shared" si="2"/>
        <v>0.1473063973</v>
      </c>
      <c r="P50" s="4">
        <v>8.0</v>
      </c>
      <c r="Q50" s="4">
        <v>7.0</v>
      </c>
      <c r="R50" s="4">
        <v>9.0</v>
      </c>
      <c r="S50" s="4">
        <v>8.0</v>
      </c>
      <c r="T50" s="4">
        <v>8.0</v>
      </c>
      <c r="U50" s="4" t="s">
        <v>132</v>
      </c>
      <c r="V50" s="4" t="s">
        <v>491</v>
      </c>
      <c r="AV50" s="4" t="s">
        <v>492</v>
      </c>
      <c r="AW50" s="4" t="s">
        <v>493</v>
      </c>
      <c r="CZ50" s="4">
        <v>1188.0</v>
      </c>
    </row>
    <row r="51" ht="15.75" hidden="1" customHeight="1">
      <c r="A51" s="4" t="s">
        <v>494</v>
      </c>
      <c r="B51" s="4" t="s">
        <v>495</v>
      </c>
      <c r="E51" s="4" t="s">
        <v>496</v>
      </c>
      <c r="F51" s="4" t="s">
        <v>105</v>
      </c>
      <c r="G51" s="4">
        <v>85.0</v>
      </c>
      <c r="H51" s="4" t="s">
        <v>497</v>
      </c>
      <c r="I51" s="4" t="s">
        <v>107</v>
      </c>
      <c r="J51" s="4" t="s">
        <v>269</v>
      </c>
      <c r="K51" s="4" t="s">
        <v>498</v>
      </c>
      <c r="L51" s="4" t="s">
        <v>499</v>
      </c>
      <c r="M51" s="4">
        <f t="shared" si="1"/>
        <v>2007</v>
      </c>
      <c r="N51" s="4">
        <v>333.0</v>
      </c>
      <c r="O51" s="4">
        <f t="shared" si="2"/>
        <v>0.4243733794</v>
      </c>
      <c r="P51" s="4">
        <v>8.0</v>
      </c>
      <c r="Q51" s="4">
        <v>7.0</v>
      </c>
      <c r="R51" s="4">
        <v>9.0</v>
      </c>
      <c r="S51" s="4">
        <v>8.0</v>
      </c>
      <c r="T51" s="4">
        <v>8.0</v>
      </c>
      <c r="U51" s="4" t="s">
        <v>122</v>
      </c>
      <c r="CI51" s="4" t="s">
        <v>500</v>
      </c>
      <c r="CU51" s="4" t="s">
        <v>501</v>
      </c>
      <c r="CZ51" s="4">
        <v>578.5</v>
      </c>
    </row>
    <row r="52" ht="15.75" hidden="1" customHeight="1">
      <c r="A52" s="4" t="s">
        <v>502</v>
      </c>
      <c r="B52" s="4" t="s">
        <v>503</v>
      </c>
      <c r="E52" s="4" t="s">
        <v>504</v>
      </c>
      <c r="F52" s="4" t="s">
        <v>105</v>
      </c>
      <c r="G52" s="4">
        <v>83.0</v>
      </c>
      <c r="H52" s="4" t="s">
        <v>313</v>
      </c>
      <c r="I52" s="4" t="s">
        <v>107</v>
      </c>
      <c r="J52" s="4" t="s">
        <v>505</v>
      </c>
      <c r="K52" s="4" t="s">
        <v>506</v>
      </c>
      <c r="L52" s="4" t="s">
        <v>507</v>
      </c>
      <c r="M52" s="4">
        <f t="shared" si="1"/>
        <v>1952</v>
      </c>
      <c r="N52" s="4">
        <v>4124.2</v>
      </c>
      <c r="O52" s="4">
        <f t="shared" si="2"/>
        <v>0.08351111111</v>
      </c>
      <c r="P52" s="4">
        <v>9.0</v>
      </c>
      <c r="Q52" s="4">
        <v>8.0</v>
      </c>
      <c r="R52" s="4">
        <v>9.0</v>
      </c>
      <c r="S52" s="4">
        <v>8.0</v>
      </c>
      <c r="T52" s="4">
        <v>5.0</v>
      </c>
      <c r="U52" s="4" t="s">
        <v>132</v>
      </c>
      <c r="AO52" s="4" t="s">
        <v>508</v>
      </c>
      <c r="BP52" s="4" t="s">
        <v>509</v>
      </c>
      <c r="BQ52" s="4" t="s">
        <v>510</v>
      </c>
      <c r="CZ52" s="4">
        <v>4500.0</v>
      </c>
    </row>
    <row r="53" ht="15.75" hidden="1" customHeight="1">
      <c r="A53" s="4" t="s">
        <v>511</v>
      </c>
      <c r="B53" s="4" t="s">
        <v>512</v>
      </c>
      <c r="E53" s="4" t="s">
        <v>244</v>
      </c>
      <c r="F53" s="4" t="s">
        <v>117</v>
      </c>
      <c r="G53" s="4">
        <v>91.0</v>
      </c>
      <c r="H53" s="4" t="s">
        <v>137</v>
      </c>
      <c r="I53" s="4" t="s">
        <v>107</v>
      </c>
      <c r="J53" s="4" t="s">
        <v>513</v>
      </c>
      <c r="K53" s="4" t="s">
        <v>414</v>
      </c>
      <c r="L53" s="4" t="s">
        <v>514</v>
      </c>
      <c r="M53" s="4">
        <f t="shared" si="1"/>
        <v>2019</v>
      </c>
      <c r="N53" s="4">
        <v>18.09</v>
      </c>
      <c r="O53" s="4">
        <f t="shared" si="2"/>
        <v>0.2321731749</v>
      </c>
      <c r="P53" s="4">
        <v>9.0</v>
      </c>
      <c r="Q53" s="4">
        <v>9.0</v>
      </c>
      <c r="R53" s="4">
        <v>8.0</v>
      </c>
      <c r="S53" s="4">
        <v>8.0</v>
      </c>
      <c r="T53" s="4">
        <v>8.0</v>
      </c>
      <c r="U53" s="4" t="s">
        <v>149</v>
      </c>
      <c r="V53" s="4" t="s">
        <v>515</v>
      </c>
      <c r="BW53" s="4" t="s">
        <v>516</v>
      </c>
      <c r="BX53" s="4" t="s">
        <v>300</v>
      </c>
      <c r="CZ53" s="4">
        <v>23.56</v>
      </c>
    </row>
    <row r="54" ht="15.75" hidden="1" customHeight="1">
      <c r="A54" s="4" t="s">
        <v>517</v>
      </c>
      <c r="B54" s="4" t="s">
        <v>518</v>
      </c>
      <c r="E54" s="4" t="s">
        <v>519</v>
      </c>
      <c r="F54" s="4" t="s">
        <v>117</v>
      </c>
      <c r="G54" s="4">
        <v>85.0</v>
      </c>
      <c r="H54" s="4" t="s">
        <v>230</v>
      </c>
      <c r="I54" s="4" t="s">
        <v>145</v>
      </c>
      <c r="J54" s="4" t="s">
        <v>373</v>
      </c>
      <c r="K54" s="4" t="s">
        <v>186</v>
      </c>
      <c r="L54" s="4" t="s">
        <v>520</v>
      </c>
      <c r="M54" s="4">
        <f t="shared" si="1"/>
        <v>2015</v>
      </c>
      <c r="N54" s="4">
        <v>28.69</v>
      </c>
      <c r="O54" s="4">
        <f t="shared" si="2"/>
        <v>0.3351100811</v>
      </c>
      <c r="P54" s="4">
        <v>7.0</v>
      </c>
      <c r="Q54" s="4">
        <v>9.0</v>
      </c>
      <c r="R54" s="4">
        <v>9.0</v>
      </c>
      <c r="S54" s="4">
        <v>6.0</v>
      </c>
      <c r="T54" s="4">
        <v>8.0</v>
      </c>
      <c r="U54" s="4" t="s">
        <v>132</v>
      </c>
      <c r="AK54" s="4" t="s">
        <v>521</v>
      </c>
      <c r="AM54" s="4" t="s">
        <v>522</v>
      </c>
      <c r="AZ54" s="4" t="s">
        <v>523</v>
      </c>
      <c r="CZ54" s="4">
        <v>43.15</v>
      </c>
    </row>
    <row r="55" ht="15.75" hidden="1" customHeight="1">
      <c r="A55" s="4" t="s">
        <v>524</v>
      </c>
      <c r="B55" s="4" t="s">
        <v>525</v>
      </c>
      <c r="E55" s="4" t="s">
        <v>244</v>
      </c>
      <c r="F55" s="4" t="s">
        <v>117</v>
      </c>
      <c r="G55" s="4">
        <v>85.0</v>
      </c>
      <c r="H55" s="4" t="s">
        <v>144</v>
      </c>
      <c r="I55" s="4" t="s">
        <v>145</v>
      </c>
      <c r="J55" s="4" t="s">
        <v>416</v>
      </c>
      <c r="K55" s="4" t="s">
        <v>526</v>
      </c>
      <c r="L55" s="4" t="s">
        <v>527</v>
      </c>
      <c r="M55" s="4">
        <f t="shared" si="1"/>
        <v>2007</v>
      </c>
      <c r="N55" s="4">
        <v>2.82</v>
      </c>
      <c r="O55" s="4">
        <f t="shared" si="2"/>
        <v>0.85</v>
      </c>
      <c r="P55" s="4">
        <v>8.0</v>
      </c>
      <c r="Q55" s="4">
        <v>10.0</v>
      </c>
      <c r="R55" s="4">
        <v>7.0</v>
      </c>
      <c r="S55" s="4">
        <v>6.0</v>
      </c>
      <c r="T55" s="4">
        <v>9.0</v>
      </c>
      <c r="U55" s="4" t="s">
        <v>111</v>
      </c>
      <c r="V55" s="4" t="s">
        <v>528</v>
      </c>
      <c r="AJ55" s="4" t="s">
        <v>529</v>
      </c>
      <c r="CB55" s="4" t="s">
        <v>530</v>
      </c>
      <c r="CZ55" s="4">
        <v>18.8</v>
      </c>
    </row>
    <row r="56" ht="15.75" hidden="1" customHeight="1">
      <c r="A56" s="10" t="s">
        <v>531</v>
      </c>
      <c r="B56" s="4" t="s">
        <v>532</v>
      </c>
      <c r="E56" s="4" t="s">
        <v>128</v>
      </c>
      <c r="F56" s="4" t="s">
        <v>117</v>
      </c>
      <c r="G56" s="4">
        <v>88.0</v>
      </c>
      <c r="H56" s="4" t="s">
        <v>260</v>
      </c>
      <c r="I56" s="4" t="s">
        <v>107</v>
      </c>
      <c r="J56" s="4" t="s">
        <v>348</v>
      </c>
      <c r="K56" s="4" t="s">
        <v>329</v>
      </c>
      <c r="L56" s="4" t="s">
        <v>533</v>
      </c>
      <c r="M56" s="4">
        <f t="shared" si="1"/>
        <v>2018</v>
      </c>
      <c r="N56" s="4">
        <v>339.73</v>
      </c>
      <c r="O56" s="4">
        <f t="shared" si="2"/>
        <v>0.08672276136</v>
      </c>
      <c r="P56" s="4">
        <v>8.0</v>
      </c>
      <c r="Q56" s="4">
        <v>8.0</v>
      </c>
      <c r="R56" s="4">
        <v>10.0</v>
      </c>
      <c r="S56" s="4">
        <v>9.0</v>
      </c>
      <c r="T56" s="4">
        <v>6.0</v>
      </c>
      <c r="U56" s="4" t="s">
        <v>132</v>
      </c>
      <c r="V56" s="4" t="s">
        <v>534</v>
      </c>
      <c r="Y56" s="4" t="s">
        <v>535</v>
      </c>
      <c r="Z56" s="4" t="s">
        <v>536</v>
      </c>
      <c r="CZ56" s="4">
        <v>371.99</v>
      </c>
    </row>
    <row r="57" ht="15.75" hidden="1" customHeight="1">
      <c r="A57" s="4" t="s">
        <v>531</v>
      </c>
      <c r="B57" s="4" t="s">
        <v>532</v>
      </c>
      <c r="E57" s="4" t="s">
        <v>136</v>
      </c>
      <c r="F57" s="4" t="s">
        <v>117</v>
      </c>
      <c r="G57" s="4">
        <v>89.0</v>
      </c>
      <c r="H57" s="4" t="s">
        <v>193</v>
      </c>
      <c r="I57" s="4" t="s">
        <v>204</v>
      </c>
      <c r="J57" s="4" t="s">
        <v>537</v>
      </c>
      <c r="K57" s="4" t="s">
        <v>329</v>
      </c>
      <c r="L57" s="4" t="s">
        <v>533</v>
      </c>
      <c r="M57" s="4">
        <f t="shared" si="1"/>
        <v>2018</v>
      </c>
      <c r="N57" s="4">
        <v>339.73</v>
      </c>
      <c r="O57" s="4">
        <f t="shared" si="2"/>
        <v>0.08672276136</v>
      </c>
      <c r="P57" s="4">
        <v>9.0</v>
      </c>
      <c r="Q57" s="4">
        <v>8.0</v>
      </c>
      <c r="R57" s="4">
        <v>10.0</v>
      </c>
      <c r="S57" s="4">
        <v>9.0</v>
      </c>
      <c r="T57" s="4">
        <v>6.0</v>
      </c>
      <c r="U57" s="4" t="s">
        <v>149</v>
      </c>
      <c r="V57" s="4" t="s">
        <v>432</v>
      </c>
      <c r="BZ57" s="4" t="s">
        <v>538</v>
      </c>
      <c r="CA57" s="4" t="s">
        <v>539</v>
      </c>
      <c r="CZ57" s="4">
        <v>371.99</v>
      </c>
    </row>
    <row r="58" ht="15.75" hidden="1" customHeight="1">
      <c r="A58" s="4" t="s">
        <v>540</v>
      </c>
      <c r="B58" s="4" t="s">
        <v>541</v>
      </c>
      <c r="E58" s="4" t="s">
        <v>542</v>
      </c>
      <c r="F58" s="4" t="s">
        <v>105</v>
      </c>
      <c r="G58" s="4">
        <v>88.0</v>
      </c>
      <c r="H58" s="4" t="s">
        <v>230</v>
      </c>
      <c r="I58" s="4" t="s">
        <v>107</v>
      </c>
      <c r="J58" s="4" t="s">
        <v>543</v>
      </c>
      <c r="K58" s="4" t="s">
        <v>424</v>
      </c>
      <c r="L58" s="4" t="s">
        <v>544</v>
      </c>
      <c r="M58" s="4">
        <f t="shared" si="1"/>
        <v>2007</v>
      </c>
      <c r="N58" s="4">
        <v>105.52</v>
      </c>
      <c r="O58" s="4">
        <f t="shared" si="2"/>
        <v>0.329179911</v>
      </c>
      <c r="P58" s="4">
        <v>8.0</v>
      </c>
      <c r="Q58" s="4">
        <v>7.0</v>
      </c>
      <c r="R58" s="4">
        <v>9.0</v>
      </c>
      <c r="S58" s="4">
        <v>7.0</v>
      </c>
      <c r="T58" s="4">
        <v>8.0</v>
      </c>
      <c r="U58" s="4" t="s">
        <v>122</v>
      </c>
      <c r="V58" s="4" t="s">
        <v>545</v>
      </c>
      <c r="AV58" s="4" t="s">
        <v>546</v>
      </c>
      <c r="CS58" s="4" t="s">
        <v>547</v>
      </c>
      <c r="CZ58" s="4">
        <v>157.3</v>
      </c>
    </row>
    <row r="59" ht="15.75" customHeight="1">
      <c r="A59" s="4" t="s">
        <v>548</v>
      </c>
      <c r="B59" s="8" t="s">
        <v>549</v>
      </c>
      <c r="E59" s="4" t="s">
        <v>550</v>
      </c>
      <c r="F59" s="4" t="s">
        <v>105</v>
      </c>
      <c r="G59" s="4">
        <v>80.0</v>
      </c>
      <c r="H59" s="4" t="s">
        <v>278</v>
      </c>
      <c r="I59" s="4" t="s">
        <v>145</v>
      </c>
      <c r="J59" s="4" t="s">
        <v>382</v>
      </c>
      <c r="K59" s="4" t="s">
        <v>109</v>
      </c>
      <c r="L59" s="4" t="s">
        <v>551</v>
      </c>
      <c r="M59" s="4">
        <f t="shared" si="1"/>
        <v>2025</v>
      </c>
      <c r="N59" s="4">
        <v>363.0</v>
      </c>
      <c r="O59" s="4">
        <f t="shared" si="2"/>
        <v>0.2937743191</v>
      </c>
      <c r="P59" s="4">
        <v>7.0</v>
      </c>
      <c r="Q59" s="4">
        <v>8.0</v>
      </c>
      <c r="R59" s="4">
        <v>8.0</v>
      </c>
      <c r="S59" s="4">
        <v>6.0</v>
      </c>
      <c r="T59" s="4">
        <v>8.0</v>
      </c>
      <c r="U59" s="4" t="s">
        <v>111</v>
      </c>
      <c r="V59" s="4" t="s">
        <v>453</v>
      </c>
      <c r="CG59" s="4" t="s">
        <v>552</v>
      </c>
      <c r="CZ59" s="4">
        <v>514.0</v>
      </c>
    </row>
    <row r="60" ht="15.75" hidden="1" customHeight="1">
      <c r="A60" s="4" t="s">
        <v>553</v>
      </c>
      <c r="B60" s="4" t="s">
        <v>554</v>
      </c>
      <c r="E60" s="4" t="s">
        <v>555</v>
      </c>
      <c r="F60" s="4" t="s">
        <v>105</v>
      </c>
      <c r="G60" s="4">
        <v>90.0</v>
      </c>
      <c r="H60" s="4" t="s">
        <v>260</v>
      </c>
      <c r="I60" s="4" t="s">
        <v>107</v>
      </c>
      <c r="J60" s="4" t="s">
        <v>543</v>
      </c>
      <c r="K60" s="4" t="s">
        <v>252</v>
      </c>
      <c r="L60" s="4" t="s">
        <v>556</v>
      </c>
      <c r="M60" s="4">
        <f t="shared" si="1"/>
        <v>1993</v>
      </c>
      <c r="N60" s="4">
        <v>1428.0</v>
      </c>
      <c r="O60" s="4">
        <f t="shared" si="2"/>
        <v>0.3703703704</v>
      </c>
      <c r="P60" s="4">
        <v>9.0</v>
      </c>
      <c r="Q60" s="4">
        <v>9.0</v>
      </c>
      <c r="R60" s="4">
        <v>10.0</v>
      </c>
      <c r="S60" s="4">
        <v>8.0</v>
      </c>
      <c r="T60" s="4">
        <v>7.0</v>
      </c>
      <c r="U60" s="4" t="s">
        <v>122</v>
      </c>
      <c r="CY60" s="4" t="s">
        <v>557</v>
      </c>
      <c r="CZ60" s="4">
        <v>2268.0</v>
      </c>
    </row>
    <row r="61" ht="15.75" customHeight="1">
      <c r="A61" s="4" t="s">
        <v>558</v>
      </c>
      <c r="B61" s="5" t="s">
        <v>559</v>
      </c>
      <c r="E61" s="4" t="s">
        <v>560</v>
      </c>
      <c r="F61" s="4" t="s">
        <v>105</v>
      </c>
      <c r="G61" s="4">
        <v>84.0</v>
      </c>
      <c r="H61" s="4" t="s">
        <v>260</v>
      </c>
      <c r="I61" s="4" t="s">
        <v>107</v>
      </c>
      <c r="J61" s="4" t="s">
        <v>561</v>
      </c>
      <c r="K61" s="4" t="s">
        <v>562</v>
      </c>
      <c r="L61" s="4" t="s">
        <v>563</v>
      </c>
      <c r="M61" s="4">
        <f t="shared" si="1"/>
        <v>2021</v>
      </c>
      <c r="N61" s="4">
        <v>247.5</v>
      </c>
      <c r="O61" s="4">
        <f t="shared" si="2"/>
        <v>0.3282670647</v>
      </c>
      <c r="P61" s="4">
        <v>7.0</v>
      </c>
      <c r="Q61" s="4">
        <v>9.0</v>
      </c>
      <c r="R61" s="4">
        <v>9.0</v>
      </c>
      <c r="S61" s="4">
        <v>7.0</v>
      </c>
      <c r="T61" s="4">
        <v>7.0</v>
      </c>
      <c r="U61" s="4" t="s">
        <v>132</v>
      </c>
      <c r="AL61" s="4" t="s">
        <v>564</v>
      </c>
      <c r="AT61" s="4" t="s">
        <v>565</v>
      </c>
      <c r="AU61" s="4" t="s">
        <v>566</v>
      </c>
      <c r="CZ61" s="4">
        <v>368.45</v>
      </c>
    </row>
    <row r="62" ht="15.75" customHeight="1">
      <c r="B62" s="11" t="s">
        <v>567</v>
      </c>
    </row>
    <row r="63" ht="15.75" customHeight="1">
      <c r="B63" s="12" t="s">
        <v>568</v>
      </c>
    </row>
    <row r="64" ht="15.75" customHeight="1">
      <c r="B64" s="11" t="s">
        <v>569</v>
      </c>
    </row>
    <row r="65" ht="15.75" customHeight="1">
      <c r="B65" s="5"/>
    </row>
    <row r="66" ht="15.75" customHeight="1">
      <c r="B66" s="13" t="s">
        <v>570</v>
      </c>
    </row>
    <row r="67" ht="15.75" customHeight="1">
      <c r="B67" s="5"/>
    </row>
    <row r="68" ht="15.75" customHeight="1">
      <c r="B68" s="5"/>
    </row>
    <row r="69" ht="15.75" customHeight="1">
      <c r="B69" s="5"/>
    </row>
    <row r="70" ht="15.75" customHeight="1">
      <c r="B70" s="5"/>
    </row>
    <row r="71" ht="15.75" customHeight="1">
      <c r="B71" s="5"/>
    </row>
    <row r="72" ht="15.75" customHeight="1">
      <c r="B72" s="5"/>
    </row>
    <row r="73" ht="15.75" customHeight="1">
      <c r="B73" s="5"/>
    </row>
    <row r="74" ht="15.75" customHeight="1">
      <c r="B74" s="5"/>
    </row>
    <row r="75" ht="15.75" customHeight="1">
      <c r="B75" s="5"/>
    </row>
    <row r="76" ht="15.75" customHeight="1">
      <c r="B76" s="5"/>
    </row>
    <row r="77" ht="15.75" customHeight="1">
      <c r="B77" s="5"/>
    </row>
    <row r="78" ht="15.75" customHeight="1">
      <c r="B78" s="5"/>
    </row>
    <row r="79" ht="15.75" customHeight="1">
      <c r="B79" s="5"/>
    </row>
    <row r="80" ht="15.75" customHeight="1">
      <c r="B80" s="5"/>
    </row>
    <row r="81" ht="15.75" customHeight="1">
      <c r="B81" s="5"/>
    </row>
    <row r="82" ht="15.75" customHeight="1">
      <c r="B82" s="5"/>
    </row>
    <row r="83" ht="15.75" customHeight="1">
      <c r="B83" s="5"/>
    </row>
    <row r="84" ht="15.75" customHeight="1">
      <c r="B84" s="5"/>
    </row>
    <row r="85" ht="15.75" customHeight="1">
      <c r="B85" s="5"/>
    </row>
    <row r="86" ht="15.75" customHeight="1">
      <c r="B86" s="5"/>
    </row>
    <row r="87" ht="15.75" customHeight="1">
      <c r="B87" s="5"/>
    </row>
    <row r="88" ht="15.75" customHeight="1">
      <c r="B88" s="5"/>
    </row>
    <row r="89" ht="15.75" customHeight="1">
      <c r="B89" s="5"/>
    </row>
    <row r="90" ht="15.75" customHeight="1">
      <c r="B90" s="5"/>
    </row>
    <row r="91" ht="15.75" customHeight="1">
      <c r="B91" s="5"/>
    </row>
    <row r="92" ht="15.75" customHeight="1">
      <c r="B92" s="5"/>
    </row>
    <row r="93" ht="15.75" customHeight="1">
      <c r="B93" s="5"/>
    </row>
    <row r="94" ht="15.75" customHeight="1">
      <c r="B94" s="5"/>
    </row>
    <row r="95" ht="15.75" customHeight="1">
      <c r="B95" s="5"/>
    </row>
    <row r="96" ht="15.75" customHeight="1">
      <c r="B96" s="5"/>
    </row>
    <row r="97" ht="15.75" customHeight="1">
      <c r="B97" s="5"/>
    </row>
    <row r="98" ht="15.75" customHeight="1">
      <c r="B98" s="5"/>
    </row>
    <row r="99" ht="15.75" customHeight="1">
      <c r="B99" s="5"/>
    </row>
    <row r="100" ht="15.75" customHeight="1">
      <c r="B100" s="5"/>
    </row>
    <row r="101" ht="15.75" customHeight="1">
      <c r="B101" s="5"/>
    </row>
    <row r="102" ht="15.75" customHeight="1">
      <c r="B102" s="5"/>
    </row>
    <row r="103" ht="15.75" customHeight="1">
      <c r="B103" s="5"/>
    </row>
    <row r="104" ht="15.75" customHeight="1">
      <c r="B104" s="5"/>
    </row>
    <row r="105" ht="15.75" customHeight="1">
      <c r="B105" s="5"/>
    </row>
    <row r="106" ht="15.75" customHeight="1">
      <c r="B106" s="5"/>
    </row>
    <row r="107" ht="15.75" customHeight="1">
      <c r="B107" s="5"/>
    </row>
    <row r="108" ht="15.75" customHeight="1">
      <c r="B108" s="5"/>
    </row>
    <row r="109" ht="15.75" customHeight="1">
      <c r="B109" s="5"/>
    </row>
    <row r="110" ht="15.75" customHeight="1">
      <c r="B110" s="5"/>
    </row>
    <row r="111" ht="15.75" customHeight="1">
      <c r="B111" s="5"/>
    </row>
    <row r="112" ht="15.75" customHeight="1">
      <c r="B112" s="5"/>
    </row>
    <row r="113" ht="15.75" customHeight="1">
      <c r="B113" s="5"/>
    </row>
    <row r="114" ht="15.75" customHeight="1">
      <c r="B114" s="5"/>
    </row>
    <row r="115" ht="15.75" customHeight="1">
      <c r="B115" s="5"/>
    </row>
    <row r="116" ht="15.75" customHeight="1">
      <c r="B116" s="5"/>
    </row>
    <row r="117" ht="15.75" customHeight="1">
      <c r="B117" s="5"/>
    </row>
    <row r="118" ht="15.75" customHeight="1">
      <c r="B118" s="5"/>
    </row>
    <row r="119" ht="15.75" customHeight="1">
      <c r="B119" s="5"/>
    </row>
    <row r="120" ht="15.75" customHeight="1">
      <c r="B120" s="5"/>
    </row>
    <row r="121" ht="15.75" customHeight="1">
      <c r="B121" s="5"/>
    </row>
    <row r="122" ht="15.75" customHeight="1">
      <c r="B122" s="5"/>
    </row>
    <row r="123" ht="15.75" customHeight="1">
      <c r="B123" s="5"/>
    </row>
    <row r="124" ht="15.75" customHeight="1">
      <c r="B124" s="5"/>
    </row>
    <row r="125" ht="15.75" customHeight="1">
      <c r="B125" s="5"/>
    </row>
    <row r="126" ht="15.75" customHeight="1">
      <c r="B126" s="5"/>
    </row>
    <row r="127" ht="15.75" customHeight="1">
      <c r="B127" s="5"/>
    </row>
    <row r="128" ht="15.75" customHeight="1">
      <c r="B128" s="5"/>
    </row>
    <row r="129" ht="15.75" customHeight="1">
      <c r="B129" s="5"/>
    </row>
    <row r="130" ht="15.75" customHeight="1">
      <c r="B130" s="5"/>
    </row>
    <row r="131" ht="15.75" customHeight="1">
      <c r="B131" s="5"/>
    </row>
    <row r="132" ht="15.75" customHeight="1">
      <c r="B132" s="5"/>
    </row>
    <row r="133" ht="15.75" customHeight="1">
      <c r="B133" s="5"/>
    </row>
    <row r="134" ht="15.75" customHeight="1">
      <c r="B134" s="5"/>
    </row>
    <row r="135" ht="15.75" customHeight="1">
      <c r="B135" s="5"/>
    </row>
    <row r="136" ht="15.75" customHeight="1">
      <c r="B136" s="5"/>
    </row>
    <row r="137" ht="15.75" customHeight="1">
      <c r="B137" s="5"/>
    </row>
    <row r="138" ht="15.75" customHeight="1">
      <c r="B138" s="5"/>
    </row>
    <row r="139" ht="15.75" customHeight="1">
      <c r="B139" s="5"/>
    </row>
    <row r="140" ht="15.75" customHeight="1">
      <c r="B140" s="5"/>
    </row>
    <row r="141" ht="15.75" customHeight="1">
      <c r="B141" s="5"/>
    </row>
    <row r="142" ht="15.75" customHeight="1">
      <c r="B142" s="5"/>
    </row>
    <row r="143" ht="15.75" customHeight="1">
      <c r="B143" s="5"/>
    </row>
    <row r="144" ht="15.75" customHeight="1">
      <c r="B144" s="5"/>
    </row>
    <row r="145" ht="15.75" customHeight="1">
      <c r="B145" s="5"/>
    </row>
    <row r="146" ht="15.75" customHeight="1">
      <c r="B146" s="5"/>
    </row>
    <row r="147" ht="15.75" customHeight="1">
      <c r="B147" s="5"/>
    </row>
    <row r="148" ht="15.75" customHeight="1">
      <c r="B148" s="5"/>
    </row>
    <row r="149" ht="15.75" customHeight="1">
      <c r="B149" s="5"/>
    </row>
    <row r="150" ht="15.75" customHeight="1">
      <c r="B150" s="5"/>
    </row>
    <row r="151" ht="15.75" customHeight="1">
      <c r="B151" s="5"/>
    </row>
    <row r="152" ht="15.75" customHeight="1">
      <c r="B152" s="5"/>
    </row>
    <row r="153" ht="15.75" customHeight="1">
      <c r="B153" s="5"/>
    </row>
    <row r="154" ht="15.75" customHeight="1">
      <c r="B154" s="5"/>
    </row>
    <row r="155" ht="15.75" customHeight="1">
      <c r="B155" s="5"/>
    </row>
    <row r="156" ht="15.75" customHeight="1">
      <c r="B156" s="5"/>
    </row>
    <row r="157" ht="15.75" customHeight="1">
      <c r="B157" s="5"/>
    </row>
    <row r="158" ht="15.75" customHeight="1">
      <c r="B158" s="5"/>
    </row>
    <row r="159" ht="15.75" customHeight="1">
      <c r="B159" s="5"/>
    </row>
    <row r="160" ht="15.75" customHeight="1">
      <c r="B160" s="5"/>
    </row>
    <row r="161" ht="15.75" customHeight="1">
      <c r="B161" s="5"/>
    </row>
    <row r="162" ht="15.75" customHeight="1">
      <c r="B162" s="5"/>
    </row>
    <row r="163" ht="15.75" customHeight="1">
      <c r="B163" s="5"/>
    </row>
    <row r="164" ht="15.75" customHeight="1">
      <c r="B164" s="5"/>
    </row>
    <row r="165" ht="15.75" customHeight="1">
      <c r="B165" s="5"/>
    </row>
    <row r="166" ht="15.75" customHeight="1">
      <c r="B166" s="5"/>
    </row>
    <row r="167" ht="15.75" customHeight="1">
      <c r="B167" s="5"/>
    </row>
    <row r="168" ht="15.75" customHeight="1">
      <c r="B168" s="5"/>
    </row>
    <row r="169" ht="15.75" customHeight="1">
      <c r="B169" s="5"/>
    </row>
    <row r="170" ht="15.75" customHeight="1">
      <c r="B170" s="5"/>
    </row>
    <row r="171" ht="15.75" customHeight="1">
      <c r="B171" s="5"/>
    </row>
    <row r="172" ht="15.75" customHeight="1">
      <c r="B172" s="5"/>
    </row>
    <row r="173" ht="15.75" customHeight="1">
      <c r="B173" s="5"/>
    </row>
    <row r="174" ht="15.75" customHeight="1">
      <c r="B174" s="5"/>
    </row>
    <row r="175" ht="15.75" customHeight="1">
      <c r="B175" s="5"/>
    </row>
    <row r="176" ht="15.75" customHeight="1">
      <c r="B176" s="5"/>
    </row>
    <row r="177" ht="15.75" customHeight="1">
      <c r="B177" s="5"/>
    </row>
    <row r="178" ht="15.75" customHeight="1">
      <c r="B178" s="5"/>
    </row>
    <row r="179" ht="15.75" customHeight="1">
      <c r="B179" s="5"/>
    </row>
    <row r="180" ht="15.75" customHeight="1">
      <c r="B180" s="5"/>
    </row>
    <row r="181" ht="15.75" customHeight="1">
      <c r="B181" s="5"/>
    </row>
    <row r="182" ht="15.75" customHeight="1">
      <c r="B182" s="5"/>
    </row>
    <row r="183" ht="15.75" customHeight="1">
      <c r="B183" s="5"/>
    </row>
    <row r="184" ht="15.75" customHeight="1">
      <c r="B184" s="5"/>
    </row>
    <row r="185" ht="15.75" customHeight="1">
      <c r="B185" s="5"/>
    </row>
    <row r="186" ht="15.75" customHeight="1">
      <c r="B186" s="5"/>
    </row>
    <row r="187" ht="15.75" customHeight="1">
      <c r="B187" s="5"/>
    </row>
    <row r="188" ht="15.75" customHeight="1">
      <c r="B188" s="5"/>
    </row>
    <row r="189" ht="15.75" customHeight="1">
      <c r="B189" s="5"/>
    </row>
    <row r="190" ht="15.75" customHeight="1">
      <c r="B190" s="5"/>
    </row>
    <row r="191" ht="15.75" customHeight="1">
      <c r="B191" s="5"/>
    </row>
    <row r="192" ht="15.75" customHeight="1">
      <c r="B192" s="5"/>
    </row>
    <row r="193" ht="15.75" customHeight="1">
      <c r="B193" s="5"/>
    </row>
    <row r="194" ht="15.75" customHeight="1">
      <c r="B194" s="5"/>
    </row>
    <row r="195" ht="15.75" customHeight="1">
      <c r="B195" s="5"/>
    </row>
    <row r="196" ht="15.75" customHeight="1">
      <c r="B196" s="5"/>
    </row>
    <row r="197" ht="15.75" customHeight="1">
      <c r="B197" s="5"/>
    </row>
    <row r="198" ht="15.75" customHeight="1">
      <c r="B198" s="5"/>
    </row>
    <row r="199" ht="15.75" customHeight="1">
      <c r="B199" s="5"/>
    </row>
    <row r="200" ht="15.75" customHeight="1">
      <c r="B200" s="5"/>
    </row>
    <row r="201" ht="15.75" customHeight="1">
      <c r="B201" s="5"/>
    </row>
    <row r="202" ht="15.75" customHeight="1">
      <c r="B202" s="5"/>
    </row>
    <row r="203" ht="15.75" customHeight="1">
      <c r="B203" s="5"/>
    </row>
    <row r="204" ht="15.75" customHeight="1">
      <c r="B204" s="5"/>
    </row>
    <row r="205" ht="15.75" customHeight="1">
      <c r="B205" s="5"/>
    </row>
    <row r="206" ht="15.75" customHeight="1">
      <c r="B206" s="5"/>
    </row>
    <row r="207" ht="15.75" customHeight="1">
      <c r="B207" s="5"/>
    </row>
    <row r="208" ht="15.75" customHeight="1">
      <c r="B208" s="5"/>
    </row>
    <row r="209" ht="15.75" customHeight="1">
      <c r="B209" s="5"/>
    </row>
    <row r="210" ht="15.75" customHeight="1">
      <c r="B210" s="5"/>
    </row>
    <row r="211" ht="15.75" customHeight="1">
      <c r="B211" s="5"/>
    </row>
    <row r="212" ht="15.75" customHeight="1">
      <c r="B212" s="5"/>
    </row>
    <row r="213" ht="15.75" customHeight="1">
      <c r="B213" s="5"/>
    </row>
    <row r="214" ht="15.75" customHeight="1">
      <c r="B214" s="5"/>
    </row>
    <row r="215" ht="15.75" customHeight="1">
      <c r="B215" s="5"/>
    </row>
    <row r="216" ht="15.75" customHeight="1">
      <c r="B216" s="5"/>
    </row>
    <row r="217" ht="15.75" customHeight="1">
      <c r="B217" s="5"/>
    </row>
    <row r="218" ht="15.75" customHeight="1">
      <c r="B218" s="5"/>
    </row>
    <row r="219" ht="15.75" customHeight="1">
      <c r="B219" s="5"/>
    </row>
    <row r="220" ht="15.75" customHeight="1">
      <c r="B220" s="5"/>
    </row>
    <row r="221" ht="15.75" customHeight="1">
      <c r="B221" s="5"/>
    </row>
    <row r="222" ht="15.75" customHeight="1">
      <c r="B222" s="5"/>
    </row>
    <row r="223" ht="15.75" customHeight="1">
      <c r="B223" s="5"/>
    </row>
    <row r="224" ht="15.75" customHeight="1">
      <c r="B224" s="5"/>
    </row>
    <row r="225" ht="15.75" customHeight="1">
      <c r="B225" s="5"/>
    </row>
    <row r="226" ht="15.75" customHeight="1">
      <c r="B226" s="5"/>
    </row>
    <row r="227" ht="15.75" customHeight="1">
      <c r="B227" s="5"/>
    </row>
    <row r="228" ht="15.75" customHeight="1">
      <c r="B228" s="5"/>
    </row>
    <row r="229" ht="15.75" customHeight="1">
      <c r="B229" s="5"/>
    </row>
    <row r="230" ht="15.75" customHeight="1">
      <c r="B230" s="5"/>
    </row>
    <row r="231" ht="15.75" customHeight="1">
      <c r="B231" s="5"/>
    </row>
    <row r="232" ht="15.75" customHeight="1">
      <c r="B232" s="5"/>
    </row>
    <row r="233" ht="15.75" customHeight="1">
      <c r="B233" s="5"/>
    </row>
    <row r="234" ht="15.75" customHeight="1">
      <c r="B234" s="5"/>
    </row>
    <row r="235" ht="15.75" customHeight="1">
      <c r="B235" s="5"/>
    </row>
    <row r="236" ht="15.75" customHeight="1">
      <c r="B236" s="5"/>
    </row>
    <row r="237" ht="15.75" customHeight="1">
      <c r="B237" s="5"/>
    </row>
    <row r="238" ht="15.75" customHeight="1">
      <c r="B238" s="5"/>
    </row>
    <row r="239" ht="15.75" customHeight="1">
      <c r="B239" s="5"/>
    </row>
    <row r="240" ht="15.75" customHeight="1">
      <c r="B240" s="5"/>
    </row>
    <row r="241" ht="15.75" customHeight="1">
      <c r="B241" s="5"/>
    </row>
    <row r="242" ht="15.75" customHeight="1">
      <c r="B242" s="5"/>
    </row>
    <row r="243" ht="15.75" customHeight="1">
      <c r="B243" s="5"/>
    </row>
    <row r="244" ht="15.75" customHeight="1">
      <c r="B244" s="5"/>
    </row>
    <row r="245" ht="15.75" customHeight="1">
      <c r="B245" s="5"/>
    </row>
    <row r="246" ht="15.75" customHeight="1">
      <c r="B246" s="5"/>
    </row>
    <row r="247" ht="15.75" customHeight="1">
      <c r="B247" s="5"/>
    </row>
    <row r="248" ht="15.75" customHeight="1">
      <c r="B248" s="5"/>
    </row>
    <row r="249" ht="15.75" customHeight="1">
      <c r="B249" s="5"/>
    </row>
    <row r="250" ht="15.75" customHeight="1">
      <c r="B250" s="5"/>
    </row>
    <row r="251" ht="15.75" customHeight="1">
      <c r="B251" s="5"/>
    </row>
    <row r="252" ht="15.75" customHeight="1">
      <c r="B252" s="5"/>
    </row>
    <row r="253" ht="15.75" customHeight="1">
      <c r="B253" s="5"/>
    </row>
    <row r="254" ht="15.75" customHeight="1">
      <c r="B254" s="5"/>
    </row>
    <row r="255" ht="15.75" customHeight="1">
      <c r="B255" s="5"/>
    </row>
    <row r="256" ht="15.75" customHeight="1">
      <c r="B256" s="5"/>
    </row>
    <row r="257" ht="15.75" customHeight="1">
      <c r="B257" s="5"/>
    </row>
    <row r="258" ht="15.75" customHeight="1">
      <c r="B258" s="5"/>
    </row>
    <row r="259" ht="15.75" customHeight="1">
      <c r="B259" s="5"/>
    </row>
    <row r="260" ht="15.75" customHeight="1">
      <c r="B260" s="5"/>
    </row>
    <row r="261" ht="15.75" customHeight="1">
      <c r="B261" s="5"/>
    </row>
    <row r="262" ht="15.75" customHeight="1">
      <c r="B262" s="5"/>
    </row>
    <row r="263" ht="15.75" customHeight="1">
      <c r="B263" s="5"/>
    </row>
    <row r="264" ht="15.75" customHeight="1">
      <c r="B264" s="5"/>
    </row>
    <row r="265" ht="15.75" customHeight="1">
      <c r="B265" s="5"/>
    </row>
    <row r="266" ht="15.75" customHeight="1">
      <c r="B266" s="5"/>
    </row>
    <row r="267" ht="15.75" customHeight="1">
      <c r="B267" s="5"/>
    </row>
    <row r="268" ht="15.75" customHeight="1">
      <c r="B268" s="5"/>
    </row>
    <row r="269" ht="15.75" customHeight="1">
      <c r="B269" s="5"/>
    </row>
    <row r="270" ht="15.75" customHeight="1">
      <c r="B270" s="5"/>
    </row>
    <row r="271" ht="15.75" customHeight="1">
      <c r="B271" s="5"/>
    </row>
    <row r="272" ht="15.75" customHeight="1">
      <c r="B272" s="5"/>
    </row>
    <row r="273" ht="15.75" customHeight="1">
      <c r="B273" s="5"/>
    </row>
    <row r="274" ht="15.75" customHeight="1">
      <c r="B274" s="5"/>
    </row>
    <row r="275" ht="15.75" customHeight="1">
      <c r="B275" s="5"/>
    </row>
    <row r="276" ht="15.75" customHeight="1">
      <c r="B276" s="5"/>
    </row>
    <row r="277" ht="15.75" customHeight="1">
      <c r="B277" s="5"/>
    </row>
    <row r="278" ht="15.75" customHeight="1">
      <c r="B278" s="5"/>
    </row>
    <row r="279" ht="15.75" customHeight="1">
      <c r="B279" s="5"/>
    </row>
    <row r="280" ht="15.75" customHeight="1">
      <c r="B280" s="5"/>
    </row>
    <row r="281" ht="15.75" customHeight="1">
      <c r="B281" s="5"/>
    </row>
    <row r="282" ht="15.75" customHeight="1">
      <c r="B282" s="5"/>
    </row>
    <row r="283" ht="15.75" customHeight="1">
      <c r="B283" s="5"/>
    </row>
    <row r="284" ht="15.75" customHeight="1">
      <c r="B284" s="5"/>
    </row>
    <row r="285" ht="15.75" customHeight="1">
      <c r="B285" s="5"/>
    </row>
    <row r="286" ht="15.75" customHeight="1">
      <c r="B286" s="5"/>
    </row>
    <row r="287" ht="15.75" customHeight="1">
      <c r="B287" s="5"/>
    </row>
    <row r="288" ht="15.75" customHeight="1">
      <c r="B288" s="5"/>
    </row>
    <row r="289" ht="15.75" customHeight="1">
      <c r="B289" s="5"/>
    </row>
    <row r="290" ht="15.75" customHeight="1">
      <c r="B290" s="5"/>
    </row>
    <row r="291" ht="15.75" customHeight="1">
      <c r="B291" s="5"/>
    </row>
    <row r="292" ht="15.75" customHeight="1">
      <c r="B292" s="5"/>
    </row>
    <row r="293" ht="15.75" customHeight="1">
      <c r="B293" s="5"/>
    </row>
    <row r="294" ht="15.75" customHeight="1">
      <c r="B294" s="5"/>
    </row>
    <row r="295" ht="15.75" customHeight="1">
      <c r="B295" s="5"/>
    </row>
    <row r="296" ht="15.75" customHeight="1">
      <c r="B296" s="5"/>
    </row>
    <row r="297" ht="15.75" customHeight="1">
      <c r="B297" s="5"/>
    </row>
    <row r="298" ht="15.75" customHeight="1">
      <c r="B298" s="5"/>
    </row>
    <row r="299" ht="15.75" customHeight="1">
      <c r="B299" s="5"/>
    </row>
    <row r="300" ht="15.75" customHeight="1">
      <c r="B300" s="5"/>
    </row>
    <row r="301" ht="15.75" customHeight="1">
      <c r="B301" s="5"/>
    </row>
    <row r="302" ht="15.75" customHeight="1">
      <c r="B302" s="5"/>
    </row>
    <row r="303" ht="15.75" customHeight="1">
      <c r="B303" s="5"/>
    </row>
    <row r="304" ht="15.75" customHeight="1">
      <c r="B304" s="5"/>
    </row>
    <row r="305" ht="15.75" customHeight="1">
      <c r="B305" s="5"/>
    </row>
    <row r="306" ht="15.75" customHeight="1">
      <c r="B306" s="5"/>
    </row>
    <row r="307" ht="15.75" customHeight="1">
      <c r="B307" s="5"/>
    </row>
    <row r="308" ht="15.75" customHeight="1">
      <c r="B308" s="5"/>
    </row>
    <row r="309" ht="15.75" customHeight="1">
      <c r="B309" s="5"/>
    </row>
    <row r="310" ht="15.75" customHeight="1">
      <c r="B310" s="5"/>
    </row>
    <row r="311" ht="15.75" customHeight="1">
      <c r="B311" s="5"/>
    </row>
    <row r="312" ht="15.75" customHeight="1">
      <c r="B312" s="5"/>
    </row>
    <row r="313" ht="15.75" customHeight="1">
      <c r="B313" s="5"/>
    </row>
    <row r="314" ht="15.75" customHeight="1">
      <c r="B314" s="5"/>
    </row>
    <row r="315" ht="15.75" customHeight="1">
      <c r="B315" s="5"/>
    </row>
    <row r="316" ht="15.75" customHeight="1">
      <c r="B316" s="5"/>
    </row>
    <row r="317" ht="15.75" customHeight="1">
      <c r="B317" s="5"/>
    </row>
    <row r="318" ht="15.75" customHeight="1">
      <c r="B318" s="5"/>
    </row>
    <row r="319" ht="15.75" customHeight="1">
      <c r="B319" s="5"/>
    </row>
    <row r="320" ht="15.75" customHeight="1">
      <c r="B320" s="5"/>
    </row>
    <row r="321" ht="15.75" customHeight="1">
      <c r="B321" s="5"/>
    </row>
    <row r="322" ht="15.75" customHeight="1">
      <c r="B322" s="5"/>
    </row>
    <row r="323" ht="15.75" customHeight="1">
      <c r="B323" s="5"/>
    </row>
    <row r="324" ht="15.75" customHeight="1">
      <c r="B324" s="5"/>
    </row>
    <row r="325" ht="15.75" customHeight="1">
      <c r="B325" s="5"/>
    </row>
    <row r="326" ht="15.75" customHeight="1">
      <c r="B326" s="5"/>
    </row>
    <row r="327" ht="15.75" customHeight="1">
      <c r="B327" s="5"/>
    </row>
    <row r="328" ht="15.75" customHeight="1">
      <c r="B328" s="5"/>
    </row>
    <row r="329" ht="15.75" customHeight="1">
      <c r="B329" s="5"/>
    </row>
    <row r="330" ht="15.75" customHeight="1">
      <c r="B330" s="5"/>
    </row>
    <row r="331" ht="15.75" customHeight="1">
      <c r="B331" s="5"/>
    </row>
    <row r="332" ht="15.75" customHeight="1">
      <c r="B332" s="5"/>
    </row>
    <row r="333" ht="15.75" customHeight="1">
      <c r="B333" s="5"/>
    </row>
    <row r="334" ht="15.75" customHeight="1">
      <c r="B334" s="5"/>
    </row>
    <row r="335" ht="15.75" customHeight="1">
      <c r="B335" s="5"/>
    </row>
    <row r="336" ht="15.75" customHeight="1">
      <c r="B336" s="5"/>
    </row>
    <row r="337" ht="15.75" customHeight="1">
      <c r="B337" s="5"/>
    </row>
    <row r="338" ht="15.75" customHeight="1">
      <c r="B338" s="5"/>
    </row>
    <row r="339" ht="15.75" customHeight="1">
      <c r="B339" s="5"/>
    </row>
    <row r="340" ht="15.75" customHeight="1">
      <c r="B340" s="5"/>
    </row>
    <row r="341" ht="15.75" customHeight="1">
      <c r="B341" s="5"/>
    </row>
    <row r="342" ht="15.75" customHeight="1">
      <c r="B342" s="5"/>
    </row>
    <row r="343" ht="15.75" customHeight="1">
      <c r="B343" s="5"/>
    </row>
    <row r="344" ht="15.75" customHeight="1">
      <c r="B344" s="5"/>
    </row>
    <row r="345" ht="15.75" customHeight="1">
      <c r="B345" s="5"/>
    </row>
    <row r="346" ht="15.75" customHeight="1">
      <c r="B346" s="5"/>
    </row>
    <row r="347" ht="15.75" customHeight="1">
      <c r="B347" s="5"/>
    </row>
    <row r="348" ht="15.75" customHeight="1">
      <c r="B348" s="5"/>
    </row>
    <row r="349" ht="15.75" customHeight="1">
      <c r="B349" s="5"/>
    </row>
    <row r="350" ht="15.75" customHeight="1">
      <c r="B350" s="5"/>
    </row>
    <row r="351" ht="15.75" customHeight="1">
      <c r="B351" s="5"/>
    </row>
    <row r="352" ht="15.75" customHeight="1">
      <c r="B352" s="5"/>
    </row>
    <row r="353" ht="15.75" customHeight="1">
      <c r="B353" s="5"/>
    </row>
    <row r="354" ht="15.75" customHeight="1">
      <c r="B354" s="5"/>
    </row>
    <row r="355" ht="15.75" customHeight="1">
      <c r="B355" s="5"/>
    </row>
    <row r="356" ht="15.75" customHeight="1">
      <c r="B356" s="5"/>
    </row>
    <row r="357" ht="15.75" customHeight="1">
      <c r="B357" s="5"/>
    </row>
    <row r="358" ht="15.75" customHeight="1">
      <c r="B358" s="5"/>
    </row>
    <row r="359" ht="15.75" customHeight="1">
      <c r="B359" s="5"/>
    </row>
    <row r="360" ht="15.75" customHeight="1">
      <c r="B360" s="5"/>
    </row>
    <row r="361" ht="15.75" customHeight="1">
      <c r="B361" s="5"/>
    </row>
    <row r="362" ht="15.75" customHeight="1">
      <c r="B362" s="5"/>
    </row>
    <row r="363" ht="15.75" customHeight="1">
      <c r="B363" s="5"/>
    </row>
    <row r="364" ht="15.75" customHeight="1">
      <c r="B364" s="5"/>
    </row>
    <row r="365" ht="15.75" customHeight="1">
      <c r="B365" s="5"/>
    </row>
    <row r="366" ht="15.75" customHeight="1">
      <c r="B366" s="5"/>
    </row>
    <row r="367" ht="15.75" customHeight="1">
      <c r="B367" s="5"/>
    </row>
    <row r="368" ht="15.75" customHeight="1">
      <c r="B368" s="5"/>
    </row>
    <row r="369" ht="15.75" customHeight="1">
      <c r="B369" s="5"/>
    </row>
    <row r="370" ht="15.75" customHeight="1">
      <c r="B370" s="5"/>
    </row>
    <row r="371" ht="15.75" customHeight="1">
      <c r="B371" s="5"/>
    </row>
    <row r="372" ht="15.75" customHeight="1">
      <c r="B372" s="5"/>
    </row>
    <row r="373" ht="15.75" customHeight="1">
      <c r="B373" s="5"/>
    </row>
    <row r="374" ht="15.75" customHeight="1">
      <c r="B374" s="5"/>
    </row>
    <row r="375" ht="15.75" customHeight="1">
      <c r="B375" s="5"/>
    </row>
    <row r="376" ht="15.75" customHeight="1">
      <c r="B376" s="5"/>
    </row>
    <row r="377" ht="15.75" customHeight="1">
      <c r="B377" s="5"/>
    </row>
    <row r="378" ht="15.75" customHeight="1">
      <c r="B378" s="5"/>
    </row>
    <row r="379" ht="15.75" customHeight="1">
      <c r="B379" s="5"/>
    </row>
    <row r="380" ht="15.75" customHeight="1">
      <c r="B380" s="5"/>
    </row>
    <row r="381" ht="15.75" customHeight="1">
      <c r="B381" s="5"/>
    </row>
    <row r="382" ht="15.75" customHeight="1">
      <c r="B382" s="5"/>
    </row>
    <row r="383" ht="15.75" customHeight="1">
      <c r="B383" s="5"/>
    </row>
    <row r="384" ht="15.75" customHeight="1">
      <c r="B384" s="5"/>
    </row>
    <row r="385" ht="15.75" customHeight="1">
      <c r="B385" s="5"/>
    </row>
    <row r="386" ht="15.75" customHeight="1">
      <c r="B386" s="5"/>
    </row>
    <row r="387" ht="15.75" customHeight="1">
      <c r="B387" s="5"/>
    </row>
    <row r="388" ht="15.75" customHeight="1">
      <c r="B388" s="5"/>
    </row>
    <row r="389" ht="15.75" customHeight="1">
      <c r="B389" s="5"/>
    </row>
    <row r="390" ht="15.75" customHeight="1">
      <c r="B390" s="5"/>
    </row>
    <row r="391" ht="15.75" customHeight="1">
      <c r="B391" s="5"/>
    </row>
    <row r="392" ht="15.75" customHeight="1">
      <c r="B392" s="5"/>
    </row>
    <row r="393" ht="15.75" customHeight="1">
      <c r="B393" s="5"/>
    </row>
    <row r="394" ht="15.75" customHeight="1">
      <c r="B394" s="5"/>
    </row>
    <row r="395" ht="15.75" customHeight="1">
      <c r="B395" s="5"/>
    </row>
    <row r="396" ht="15.75" customHeight="1">
      <c r="B396" s="5"/>
    </row>
    <row r="397" ht="15.75" customHeight="1">
      <c r="B397" s="5"/>
    </row>
    <row r="398" ht="15.75" customHeight="1">
      <c r="B398" s="5"/>
    </row>
    <row r="399" ht="15.75" customHeight="1">
      <c r="B399" s="5"/>
    </row>
    <row r="400" ht="15.75" customHeight="1">
      <c r="B400" s="5"/>
    </row>
    <row r="401" ht="15.75" customHeight="1">
      <c r="B401" s="5"/>
    </row>
    <row r="402" ht="15.75" customHeight="1">
      <c r="B402" s="5"/>
    </row>
    <row r="403" ht="15.75" customHeight="1">
      <c r="B403" s="5"/>
    </row>
    <row r="404" ht="15.75" customHeight="1">
      <c r="B404" s="5"/>
    </row>
    <row r="405" ht="15.75" customHeight="1">
      <c r="B405" s="5"/>
    </row>
    <row r="406" ht="15.75" customHeight="1">
      <c r="B406" s="5"/>
    </row>
    <row r="407" ht="15.75" customHeight="1">
      <c r="B407" s="5"/>
    </row>
    <row r="408" ht="15.75" customHeight="1">
      <c r="B408" s="5"/>
    </row>
    <row r="409" ht="15.75" customHeight="1">
      <c r="B409" s="5"/>
    </row>
    <row r="410" ht="15.75" customHeight="1">
      <c r="B410" s="5"/>
    </row>
    <row r="411" ht="15.75" customHeight="1">
      <c r="B411" s="5"/>
    </row>
    <row r="412" ht="15.75" customHeight="1">
      <c r="B412" s="5"/>
    </row>
    <row r="413" ht="15.75" customHeight="1">
      <c r="B413" s="5"/>
    </row>
    <row r="414" ht="15.75" customHeight="1">
      <c r="B414" s="5"/>
    </row>
    <row r="415" ht="15.75" customHeight="1">
      <c r="B415" s="5"/>
    </row>
    <row r="416" ht="15.75" customHeight="1">
      <c r="B416" s="5"/>
    </row>
    <row r="417" ht="15.75" customHeight="1">
      <c r="B417" s="5"/>
    </row>
    <row r="418" ht="15.75" customHeight="1">
      <c r="B418" s="5"/>
    </row>
    <row r="419" ht="15.75" customHeight="1">
      <c r="B419" s="5"/>
    </row>
    <row r="420" ht="15.75" customHeight="1">
      <c r="B420" s="5"/>
    </row>
    <row r="421" ht="15.75" customHeight="1">
      <c r="B421" s="5"/>
    </row>
    <row r="422" ht="15.75" customHeight="1">
      <c r="B422" s="5"/>
    </row>
    <row r="423" ht="15.75" customHeight="1">
      <c r="B423" s="5"/>
    </row>
    <row r="424" ht="15.75" customHeight="1">
      <c r="B424" s="5"/>
    </row>
    <row r="425" ht="15.75" customHeight="1">
      <c r="B425" s="5"/>
    </row>
    <row r="426" ht="15.75" customHeight="1">
      <c r="B426" s="5"/>
    </row>
    <row r="427" ht="15.75" customHeight="1">
      <c r="B427" s="5"/>
    </row>
    <row r="428" ht="15.75" customHeight="1">
      <c r="B428" s="5"/>
    </row>
    <row r="429" ht="15.75" customHeight="1">
      <c r="B429" s="5"/>
    </row>
    <row r="430" ht="15.75" customHeight="1">
      <c r="B430" s="5"/>
    </row>
    <row r="431" ht="15.75" customHeight="1">
      <c r="B431" s="5"/>
    </row>
    <row r="432" ht="15.75" customHeight="1">
      <c r="B432" s="5"/>
    </row>
    <row r="433" ht="15.75" customHeight="1">
      <c r="B433" s="5"/>
    </row>
    <row r="434" ht="15.75" customHeight="1">
      <c r="B434" s="5"/>
    </row>
    <row r="435" ht="15.75" customHeight="1">
      <c r="B435" s="5"/>
    </row>
    <row r="436" ht="15.75" customHeight="1">
      <c r="B436" s="5"/>
    </row>
    <row r="437" ht="15.75" customHeight="1">
      <c r="B437" s="5"/>
    </row>
    <row r="438" ht="15.75" customHeight="1">
      <c r="B438" s="5"/>
    </row>
    <row r="439" ht="15.75" customHeight="1">
      <c r="B439" s="5"/>
    </row>
    <row r="440" ht="15.75" customHeight="1">
      <c r="B440" s="5"/>
    </row>
    <row r="441" ht="15.75" customHeight="1">
      <c r="B441" s="5"/>
    </row>
    <row r="442" ht="15.75" customHeight="1">
      <c r="B442" s="5"/>
    </row>
    <row r="443" ht="15.75" customHeight="1">
      <c r="B443" s="5"/>
    </row>
    <row r="444" ht="15.75" customHeight="1">
      <c r="B444" s="5"/>
    </row>
    <row r="445" ht="15.75" customHeight="1">
      <c r="B445" s="5"/>
    </row>
    <row r="446" ht="15.75" customHeight="1">
      <c r="B446" s="5"/>
    </row>
    <row r="447" ht="15.75" customHeight="1">
      <c r="B447" s="5"/>
    </row>
    <row r="448" ht="15.75" customHeight="1">
      <c r="B448" s="5"/>
    </row>
    <row r="449" ht="15.75" customHeight="1">
      <c r="B449" s="5"/>
    </row>
    <row r="450" ht="15.75" customHeight="1">
      <c r="B450" s="5"/>
    </row>
    <row r="451" ht="15.75" customHeight="1">
      <c r="B451" s="5"/>
    </row>
    <row r="452" ht="15.75" customHeight="1">
      <c r="B452" s="5"/>
    </row>
    <row r="453" ht="15.75" customHeight="1">
      <c r="B453" s="5"/>
    </row>
    <row r="454" ht="15.75" customHeight="1">
      <c r="B454" s="5"/>
    </row>
    <row r="455" ht="15.75" customHeight="1">
      <c r="B455" s="5"/>
    </row>
    <row r="456" ht="15.75" customHeight="1">
      <c r="B456" s="5"/>
    </row>
    <row r="457" ht="15.75" customHeight="1">
      <c r="B457" s="5"/>
    </row>
    <row r="458" ht="15.75" customHeight="1">
      <c r="B458" s="5"/>
    </row>
    <row r="459" ht="15.75" customHeight="1">
      <c r="B459" s="5"/>
    </row>
    <row r="460" ht="15.75" customHeight="1">
      <c r="B460" s="5"/>
    </row>
    <row r="461" ht="15.75" customHeight="1">
      <c r="B461" s="5"/>
    </row>
    <row r="462" ht="15.75" customHeight="1">
      <c r="B462" s="5"/>
    </row>
    <row r="463" ht="15.75" customHeight="1">
      <c r="B463" s="5"/>
    </row>
    <row r="464" ht="15.75" customHeight="1">
      <c r="B464" s="5"/>
    </row>
    <row r="465" ht="15.75" customHeight="1">
      <c r="B465" s="5"/>
    </row>
    <row r="466" ht="15.75" customHeight="1">
      <c r="B466" s="5"/>
    </row>
    <row r="467" ht="15.75" customHeight="1">
      <c r="B467" s="5"/>
    </row>
    <row r="468" ht="15.75" customHeight="1">
      <c r="B468" s="5"/>
    </row>
    <row r="469" ht="15.75" customHeight="1">
      <c r="B469" s="5"/>
    </row>
    <row r="470" ht="15.75" customHeight="1">
      <c r="B470" s="5"/>
    </row>
    <row r="471" ht="15.75" customHeight="1">
      <c r="B471" s="5"/>
    </row>
    <row r="472" ht="15.75" customHeight="1">
      <c r="B472" s="5"/>
    </row>
    <row r="473" ht="15.75" customHeight="1">
      <c r="B473" s="5"/>
    </row>
    <row r="474" ht="15.75" customHeight="1">
      <c r="B474" s="5"/>
    </row>
    <row r="475" ht="15.75" customHeight="1">
      <c r="B475" s="5"/>
    </row>
    <row r="476" ht="15.75" customHeight="1">
      <c r="B476" s="5"/>
    </row>
    <row r="477" ht="15.75" customHeight="1">
      <c r="B477" s="5"/>
    </row>
    <row r="478" ht="15.75" customHeight="1">
      <c r="B478" s="5"/>
    </row>
    <row r="479" ht="15.75" customHeight="1">
      <c r="B479" s="5"/>
    </row>
    <row r="480" ht="15.75" customHeight="1">
      <c r="B480" s="5"/>
    </row>
    <row r="481" ht="15.75" customHeight="1">
      <c r="B481" s="5"/>
    </row>
    <row r="482" ht="15.75" customHeight="1">
      <c r="B482" s="5"/>
    </row>
    <row r="483" ht="15.75" customHeight="1">
      <c r="B483" s="5"/>
    </row>
    <row r="484" ht="15.75" customHeight="1">
      <c r="B484" s="5"/>
    </row>
    <row r="485" ht="15.75" customHeight="1">
      <c r="B485" s="5"/>
    </row>
    <row r="486" ht="15.75" customHeight="1">
      <c r="B486" s="5"/>
    </row>
    <row r="487" ht="15.75" customHeight="1">
      <c r="B487" s="5"/>
    </row>
    <row r="488" ht="15.75" customHeight="1">
      <c r="B488" s="5"/>
    </row>
    <row r="489" ht="15.75" customHeight="1">
      <c r="B489" s="5"/>
    </row>
    <row r="490" ht="15.75" customHeight="1">
      <c r="B490" s="5"/>
    </row>
    <row r="491" ht="15.75" customHeight="1">
      <c r="B491" s="5"/>
    </row>
    <row r="492" ht="15.75" customHeight="1">
      <c r="B492" s="5"/>
    </row>
    <row r="493" ht="15.75" customHeight="1">
      <c r="B493" s="5"/>
    </row>
    <row r="494" ht="15.75" customHeight="1">
      <c r="B494" s="5"/>
    </row>
    <row r="495" ht="15.75" customHeight="1">
      <c r="B495" s="5"/>
    </row>
    <row r="496" ht="15.75" customHeight="1">
      <c r="B496" s="5"/>
    </row>
    <row r="497" ht="15.75" customHeight="1">
      <c r="B497" s="5"/>
    </row>
    <row r="498" ht="15.75" customHeight="1">
      <c r="B498" s="5"/>
    </row>
    <row r="499" ht="15.75" customHeight="1">
      <c r="B499" s="5"/>
    </row>
    <row r="500" ht="15.75" customHeight="1">
      <c r="B500" s="5"/>
    </row>
    <row r="501" ht="15.75" customHeight="1">
      <c r="B501" s="5"/>
    </row>
    <row r="502" ht="15.75" customHeight="1">
      <c r="B502" s="5"/>
    </row>
    <row r="503" ht="15.75" customHeight="1">
      <c r="B503" s="5"/>
    </row>
    <row r="504" ht="15.75" customHeight="1">
      <c r="B504" s="5"/>
    </row>
    <row r="505" ht="15.75" customHeight="1">
      <c r="B505" s="5"/>
    </row>
    <row r="506" ht="15.75" customHeight="1">
      <c r="B506" s="5"/>
    </row>
    <row r="507" ht="15.75" customHeight="1">
      <c r="B507" s="5"/>
    </row>
    <row r="508" ht="15.75" customHeight="1">
      <c r="B508" s="5"/>
    </row>
    <row r="509" ht="15.75" customHeight="1">
      <c r="B509" s="5"/>
    </row>
    <row r="510" ht="15.75" customHeight="1">
      <c r="B510" s="5"/>
    </row>
    <row r="511" ht="15.75" customHeight="1">
      <c r="B511" s="5"/>
    </row>
    <row r="512" ht="15.75" customHeight="1">
      <c r="B512" s="5"/>
    </row>
    <row r="513" ht="15.75" customHeight="1">
      <c r="B513" s="5"/>
    </row>
    <row r="514" ht="15.75" customHeight="1">
      <c r="B514" s="5"/>
    </row>
    <row r="515" ht="15.75" customHeight="1">
      <c r="B515" s="5"/>
    </row>
    <row r="516" ht="15.75" customHeight="1">
      <c r="B516" s="5"/>
    </row>
    <row r="517" ht="15.75" customHeight="1">
      <c r="B517" s="5"/>
    </row>
    <row r="518" ht="15.75" customHeight="1">
      <c r="B518" s="5"/>
    </row>
    <row r="519" ht="15.75" customHeight="1">
      <c r="B519" s="5"/>
    </row>
    <row r="520" ht="15.75" customHeight="1">
      <c r="B520" s="5"/>
    </row>
    <row r="521" ht="15.75" customHeight="1">
      <c r="B521" s="5"/>
    </row>
    <row r="522" ht="15.75" customHeight="1">
      <c r="B522" s="5"/>
    </row>
    <row r="523" ht="15.75" customHeight="1">
      <c r="B523" s="5"/>
    </row>
    <row r="524" ht="15.75" customHeight="1">
      <c r="B524" s="5"/>
    </row>
    <row r="525" ht="15.75" customHeight="1">
      <c r="B525" s="5"/>
    </row>
    <row r="526" ht="15.75" customHeight="1">
      <c r="B526" s="5"/>
    </row>
    <row r="527" ht="15.75" customHeight="1">
      <c r="B527" s="5"/>
    </row>
    <row r="528" ht="15.75" customHeight="1">
      <c r="B528" s="5"/>
    </row>
    <row r="529" ht="15.75" customHeight="1">
      <c r="B529" s="5"/>
    </row>
    <row r="530" ht="15.75" customHeight="1">
      <c r="B530" s="5"/>
    </row>
    <row r="531" ht="15.75" customHeight="1">
      <c r="B531" s="5"/>
    </row>
    <row r="532" ht="15.75" customHeight="1">
      <c r="B532" s="5"/>
    </row>
    <row r="533" ht="15.75" customHeight="1">
      <c r="B533" s="5"/>
    </row>
    <row r="534" ht="15.75" customHeight="1">
      <c r="B534" s="5"/>
    </row>
    <row r="535" ht="15.75" customHeight="1">
      <c r="B535" s="5"/>
    </row>
    <row r="536" ht="15.75" customHeight="1">
      <c r="B536" s="5"/>
    </row>
    <row r="537" ht="15.75" customHeight="1">
      <c r="B537" s="5"/>
    </row>
    <row r="538" ht="15.75" customHeight="1">
      <c r="B538" s="5"/>
    </row>
    <row r="539" ht="15.75" customHeight="1">
      <c r="B539" s="5"/>
    </row>
    <row r="540" ht="15.75" customHeight="1">
      <c r="B540" s="5"/>
    </row>
    <row r="541" ht="15.75" customHeight="1">
      <c r="B541" s="5"/>
    </row>
    <row r="542" ht="15.75" customHeight="1">
      <c r="B542" s="5"/>
    </row>
    <row r="543" ht="15.75" customHeight="1">
      <c r="B543" s="5"/>
    </row>
    <row r="544" ht="15.75" customHeight="1">
      <c r="B544" s="5"/>
    </row>
    <row r="545" ht="15.75" customHeight="1">
      <c r="B545" s="5"/>
    </row>
    <row r="546" ht="15.75" customHeight="1">
      <c r="B546" s="5"/>
    </row>
    <row r="547" ht="15.75" customHeight="1">
      <c r="B547" s="5"/>
    </row>
    <row r="548" ht="15.75" customHeight="1">
      <c r="B548" s="5"/>
    </row>
    <row r="549" ht="15.75" customHeight="1">
      <c r="B549" s="5"/>
    </row>
    <row r="550" ht="15.75" customHeight="1">
      <c r="B550" s="5"/>
    </row>
    <row r="551" ht="15.75" customHeight="1">
      <c r="B551" s="5"/>
    </row>
    <row r="552" ht="15.75" customHeight="1">
      <c r="B552" s="5"/>
    </row>
    <row r="553" ht="15.75" customHeight="1">
      <c r="B553" s="5"/>
    </row>
    <row r="554" ht="15.75" customHeight="1">
      <c r="B554" s="5"/>
    </row>
    <row r="555" ht="15.75" customHeight="1">
      <c r="B555" s="5"/>
    </row>
    <row r="556" ht="15.75" customHeight="1">
      <c r="B556" s="5"/>
    </row>
    <row r="557" ht="15.75" customHeight="1">
      <c r="B557" s="5"/>
    </row>
    <row r="558" ht="15.75" customHeight="1">
      <c r="B558" s="5"/>
    </row>
    <row r="559" ht="15.75" customHeight="1">
      <c r="B559" s="5"/>
    </row>
    <row r="560" ht="15.75" customHeight="1">
      <c r="B560" s="5"/>
    </row>
    <row r="561" ht="15.75" customHeight="1">
      <c r="B561" s="5"/>
    </row>
    <row r="562" ht="15.75" customHeight="1">
      <c r="B562" s="5"/>
    </row>
    <row r="563" ht="15.75" customHeight="1">
      <c r="B563" s="5"/>
    </row>
    <row r="564" ht="15.75" customHeight="1">
      <c r="B564" s="5"/>
    </row>
    <row r="565" ht="15.75" customHeight="1">
      <c r="B565" s="5"/>
    </row>
    <row r="566" ht="15.75" customHeight="1">
      <c r="B566" s="5"/>
    </row>
    <row r="567" ht="15.75" customHeight="1">
      <c r="B567" s="5"/>
    </row>
    <row r="568" ht="15.75" customHeight="1">
      <c r="B568" s="5"/>
    </row>
    <row r="569" ht="15.75" customHeight="1">
      <c r="B569" s="5"/>
    </row>
    <row r="570" ht="15.75" customHeight="1">
      <c r="B570" s="5"/>
    </row>
    <row r="571" ht="15.75" customHeight="1">
      <c r="B571" s="5"/>
    </row>
    <row r="572" ht="15.75" customHeight="1">
      <c r="B572" s="5"/>
    </row>
    <row r="573" ht="15.75" customHeight="1">
      <c r="B573" s="5"/>
    </row>
    <row r="574" ht="15.75" customHeight="1">
      <c r="B574" s="5"/>
    </row>
    <row r="575" ht="15.75" customHeight="1">
      <c r="B575" s="5"/>
    </row>
    <row r="576" ht="15.75" customHeight="1">
      <c r="B576" s="5"/>
    </row>
    <row r="577" ht="15.75" customHeight="1">
      <c r="B577" s="5"/>
    </row>
    <row r="578" ht="15.75" customHeight="1">
      <c r="B578" s="5"/>
    </row>
    <row r="579" ht="15.75" customHeight="1">
      <c r="B579" s="5"/>
    </row>
    <row r="580" ht="15.75" customHeight="1">
      <c r="B580" s="5"/>
    </row>
    <row r="581" ht="15.75" customHeight="1">
      <c r="B581" s="5"/>
    </row>
    <row r="582" ht="15.75" customHeight="1">
      <c r="B582" s="5"/>
    </row>
    <row r="583" ht="15.75" customHeight="1">
      <c r="B583" s="5"/>
    </row>
    <row r="584" ht="15.75" customHeight="1">
      <c r="B584" s="5"/>
    </row>
    <row r="585" ht="15.75" customHeight="1">
      <c r="B585" s="5"/>
    </row>
    <row r="586" ht="15.75" customHeight="1">
      <c r="B586" s="5"/>
    </row>
    <row r="587" ht="15.75" customHeight="1">
      <c r="B587" s="5"/>
    </row>
    <row r="588" ht="15.75" customHeight="1">
      <c r="B588" s="5"/>
    </row>
    <row r="589" ht="15.75" customHeight="1">
      <c r="B589" s="5"/>
    </row>
    <row r="590" ht="15.75" customHeight="1">
      <c r="B590" s="5"/>
    </row>
    <row r="591" ht="15.75" customHeight="1">
      <c r="B591" s="5"/>
    </row>
    <row r="592" ht="15.75" customHeight="1">
      <c r="B592" s="5"/>
    </row>
    <row r="593" ht="15.75" customHeight="1">
      <c r="B593" s="5"/>
    </row>
    <row r="594" ht="15.75" customHeight="1">
      <c r="B594" s="5"/>
    </row>
    <row r="595" ht="15.75" customHeight="1">
      <c r="B595" s="5"/>
    </row>
    <row r="596" ht="15.75" customHeight="1">
      <c r="B596" s="5"/>
    </row>
    <row r="597" ht="15.75" customHeight="1">
      <c r="B597" s="5"/>
    </row>
    <row r="598" ht="15.75" customHeight="1">
      <c r="B598" s="5"/>
    </row>
    <row r="599" ht="15.75" customHeight="1">
      <c r="B599" s="5"/>
    </row>
    <row r="600" ht="15.75" customHeight="1">
      <c r="B600" s="5"/>
    </row>
    <row r="601" ht="15.75" customHeight="1">
      <c r="B601" s="5"/>
    </row>
    <row r="602" ht="15.75" customHeight="1">
      <c r="B602" s="5"/>
    </row>
    <row r="603" ht="15.75" customHeight="1">
      <c r="B603" s="5"/>
    </row>
    <row r="604" ht="15.75" customHeight="1">
      <c r="B604" s="5"/>
    </row>
    <row r="605" ht="15.75" customHeight="1">
      <c r="B605" s="5"/>
    </row>
    <row r="606" ht="15.75" customHeight="1">
      <c r="B606" s="5"/>
    </row>
    <row r="607" ht="15.75" customHeight="1">
      <c r="B607" s="5"/>
    </row>
    <row r="608" ht="15.75" customHeight="1">
      <c r="B608" s="5"/>
    </row>
    <row r="609" ht="15.75" customHeight="1">
      <c r="B609" s="5"/>
    </row>
    <row r="610" ht="15.75" customHeight="1">
      <c r="B610" s="5"/>
    </row>
    <row r="611" ht="15.75" customHeight="1">
      <c r="B611" s="5"/>
    </row>
    <row r="612" ht="15.75" customHeight="1">
      <c r="B612" s="5"/>
    </row>
    <row r="613" ht="15.75" customHeight="1">
      <c r="B613" s="5"/>
    </row>
    <row r="614" ht="15.75" customHeight="1">
      <c r="B614" s="5"/>
    </row>
    <row r="615" ht="15.75" customHeight="1">
      <c r="B615" s="5"/>
    </row>
    <row r="616" ht="15.75" customHeight="1">
      <c r="B616" s="5"/>
    </row>
    <row r="617" ht="15.75" customHeight="1">
      <c r="B617" s="5"/>
    </row>
    <row r="618" ht="15.75" customHeight="1">
      <c r="B618" s="5"/>
    </row>
    <row r="619" ht="15.75" customHeight="1">
      <c r="B619" s="5"/>
    </row>
    <row r="620" ht="15.75" customHeight="1">
      <c r="B620" s="5"/>
    </row>
    <row r="621" ht="15.75" customHeight="1">
      <c r="B621" s="5"/>
    </row>
    <row r="622" ht="15.75" customHeight="1">
      <c r="B622" s="5"/>
    </row>
    <row r="623" ht="15.75" customHeight="1">
      <c r="B623" s="5"/>
    </row>
    <row r="624" ht="15.75" customHeight="1">
      <c r="B624" s="5"/>
    </row>
    <row r="625" ht="15.75" customHeight="1">
      <c r="B625" s="5"/>
    </row>
    <row r="626" ht="15.75" customHeight="1">
      <c r="B626" s="5"/>
    </row>
    <row r="627" ht="15.75" customHeight="1">
      <c r="B627" s="5"/>
    </row>
    <row r="628" ht="15.75" customHeight="1">
      <c r="B628" s="5"/>
    </row>
    <row r="629" ht="15.75" customHeight="1">
      <c r="B629" s="5"/>
    </row>
    <row r="630" ht="15.75" customHeight="1">
      <c r="B630" s="5"/>
    </row>
    <row r="631" ht="15.75" customHeight="1">
      <c r="B631" s="5"/>
    </row>
    <row r="632" ht="15.75" customHeight="1">
      <c r="B632" s="5"/>
    </row>
    <row r="633" ht="15.75" customHeight="1">
      <c r="B633" s="5"/>
    </row>
    <row r="634" ht="15.75" customHeight="1">
      <c r="B634" s="5"/>
    </row>
    <row r="635" ht="15.75" customHeight="1">
      <c r="B635" s="5"/>
    </row>
    <row r="636" ht="15.75" customHeight="1">
      <c r="B636" s="5"/>
    </row>
    <row r="637" ht="15.75" customHeight="1">
      <c r="B637" s="5"/>
    </row>
    <row r="638" ht="15.75" customHeight="1">
      <c r="B638" s="5"/>
    </row>
    <row r="639" ht="15.75" customHeight="1">
      <c r="B639" s="5"/>
    </row>
    <row r="640" ht="15.75" customHeight="1">
      <c r="B640" s="5"/>
    </row>
    <row r="641" ht="15.75" customHeight="1">
      <c r="B641" s="5"/>
    </row>
    <row r="642" ht="15.75" customHeight="1">
      <c r="B642" s="5"/>
    </row>
    <row r="643" ht="15.75" customHeight="1">
      <c r="B643" s="5"/>
    </row>
    <row r="644" ht="15.75" customHeight="1">
      <c r="B644" s="5"/>
    </row>
    <row r="645" ht="15.75" customHeight="1">
      <c r="B645" s="5"/>
    </row>
    <row r="646" ht="15.75" customHeight="1">
      <c r="B646" s="5"/>
    </row>
    <row r="647" ht="15.75" customHeight="1">
      <c r="B647" s="5"/>
    </row>
    <row r="648" ht="15.75" customHeight="1">
      <c r="B648" s="5"/>
    </row>
    <row r="649" ht="15.75" customHeight="1">
      <c r="B649" s="5"/>
    </row>
    <row r="650" ht="15.75" customHeight="1">
      <c r="B650" s="5"/>
    </row>
    <row r="651" ht="15.75" customHeight="1">
      <c r="B651" s="5"/>
    </row>
    <row r="652" ht="15.75" customHeight="1">
      <c r="B652" s="5"/>
    </row>
    <row r="653" ht="15.75" customHeight="1">
      <c r="B653" s="5"/>
    </row>
    <row r="654" ht="15.75" customHeight="1">
      <c r="B654" s="5"/>
    </row>
    <row r="655" ht="15.75" customHeight="1">
      <c r="B655" s="5"/>
    </row>
    <row r="656" ht="15.75" customHeight="1">
      <c r="B656" s="5"/>
    </row>
    <row r="657" ht="15.75" customHeight="1">
      <c r="B657" s="5"/>
    </row>
    <row r="658" ht="15.75" customHeight="1">
      <c r="B658" s="5"/>
    </row>
    <row r="659" ht="15.75" customHeight="1">
      <c r="B659" s="5"/>
    </row>
    <row r="660" ht="15.75" customHeight="1">
      <c r="B660" s="5"/>
    </row>
    <row r="661" ht="15.75" customHeight="1">
      <c r="B661" s="5"/>
    </row>
    <row r="662" ht="15.75" customHeight="1">
      <c r="B662" s="5"/>
    </row>
    <row r="663" ht="15.75" customHeight="1">
      <c r="B663" s="5"/>
    </row>
    <row r="664" ht="15.75" customHeight="1">
      <c r="B664" s="5"/>
    </row>
    <row r="665" ht="15.75" customHeight="1">
      <c r="B665" s="5"/>
    </row>
    <row r="666" ht="15.75" customHeight="1">
      <c r="B666" s="5"/>
    </row>
    <row r="667" ht="15.75" customHeight="1">
      <c r="B667" s="5"/>
    </row>
    <row r="668" ht="15.75" customHeight="1">
      <c r="B668" s="5"/>
    </row>
    <row r="669" ht="15.75" customHeight="1">
      <c r="B669" s="5"/>
    </row>
    <row r="670" ht="15.75" customHeight="1">
      <c r="B670" s="5"/>
    </row>
    <row r="671" ht="15.75" customHeight="1">
      <c r="B671" s="5"/>
    </row>
    <row r="672" ht="15.75" customHeight="1">
      <c r="B672" s="5"/>
    </row>
    <row r="673" ht="15.75" customHeight="1">
      <c r="B673" s="5"/>
    </row>
    <row r="674" ht="15.75" customHeight="1">
      <c r="B674" s="5"/>
    </row>
    <row r="675" ht="15.75" customHeight="1">
      <c r="B675" s="5"/>
    </row>
    <row r="676" ht="15.75" customHeight="1">
      <c r="B676" s="5"/>
    </row>
    <row r="677" ht="15.75" customHeight="1">
      <c r="B677" s="5"/>
    </row>
    <row r="678" ht="15.75" customHeight="1">
      <c r="B678" s="5"/>
    </row>
    <row r="679" ht="15.75" customHeight="1">
      <c r="B679" s="5"/>
    </row>
    <row r="680" ht="15.75" customHeight="1">
      <c r="B680" s="5"/>
    </row>
    <row r="681" ht="15.75" customHeight="1">
      <c r="B681" s="5"/>
    </row>
    <row r="682" ht="15.75" customHeight="1">
      <c r="B682" s="5"/>
    </row>
    <row r="683" ht="15.75" customHeight="1">
      <c r="B683" s="5"/>
    </row>
    <row r="684" ht="15.75" customHeight="1">
      <c r="B684" s="5"/>
    </row>
    <row r="685" ht="15.75" customHeight="1">
      <c r="B685" s="5"/>
    </row>
    <row r="686" ht="15.75" customHeight="1">
      <c r="B686" s="5"/>
    </row>
    <row r="687" ht="15.75" customHeight="1">
      <c r="B687" s="5"/>
    </row>
    <row r="688" ht="15.75" customHeight="1">
      <c r="B688" s="5"/>
    </row>
    <row r="689" ht="15.75" customHeight="1">
      <c r="B689" s="5"/>
    </row>
    <row r="690" ht="15.75" customHeight="1">
      <c r="B690" s="5"/>
    </row>
    <row r="691" ht="15.75" customHeight="1">
      <c r="B691" s="5"/>
    </row>
    <row r="692" ht="15.75" customHeight="1">
      <c r="B692" s="5"/>
    </row>
    <row r="693" ht="15.75" customHeight="1">
      <c r="B693" s="5"/>
    </row>
    <row r="694" ht="15.75" customHeight="1">
      <c r="B694" s="5"/>
    </row>
    <row r="695" ht="15.75" customHeight="1">
      <c r="B695" s="5"/>
    </row>
    <row r="696" ht="15.75" customHeight="1">
      <c r="B696" s="5"/>
    </row>
    <row r="697" ht="15.75" customHeight="1">
      <c r="B697" s="5"/>
    </row>
    <row r="698" ht="15.75" customHeight="1">
      <c r="B698" s="5"/>
    </row>
    <row r="699" ht="15.75" customHeight="1">
      <c r="B699" s="5"/>
    </row>
    <row r="700" ht="15.75" customHeight="1">
      <c r="B700" s="5"/>
    </row>
    <row r="701" ht="15.75" customHeight="1">
      <c r="B701" s="5"/>
    </row>
    <row r="702" ht="15.75" customHeight="1">
      <c r="B702" s="5"/>
    </row>
    <row r="703" ht="15.75" customHeight="1">
      <c r="B703" s="5"/>
    </row>
    <row r="704" ht="15.75" customHeight="1">
      <c r="B704" s="5"/>
    </row>
    <row r="705" ht="15.75" customHeight="1">
      <c r="B705" s="5"/>
    </row>
    <row r="706" ht="15.75" customHeight="1">
      <c r="B706" s="5"/>
    </row>
    <row r="707" ht="15.75" customHeight="1">
      <c r="B707" s="5"/>
    </row>
    <row r="708" ht="15.75" customHeight="1">
      <c r="B708" s="5"/>
    </row>
    <row r="709" ht="15.75" customHeight="1">
      <c r="B709" s="5"/>
    </row>
    <row r="710" ht="15.75" customHeight="1">
      <c r="B710" s="5"/>
    </row>
    <row r="711" ht="15.75" customHeight="1">
      <c r="B711" s="5"/>
    </row>
    <row r="712" ht="15.75" customHeight="1">
      <c r="B712" s="5"/>
    </row>
    <row r="713" ht="15.75" customHeight="1">
      <c r="B713" s="5"/>
    </row>
    <row r="714" ht="15.75" customHeight="1">
      <c r="B714" s="5"/>
    </row>
    <row r="715" ht="15.75" customHeight="1">
      <c r="B715" s="5"/>
    </row>
    <row r="716" ht="15.75" customHeight="1">
      <c r="B716" s="5"/>
    </row>
    <row r="717" ht="15.75" customHeight="1">
      <c r="B717" s="5"/>
    </row>
    <row r="718" ht="15.75" customHeight="1">
      <c r="B718" s="5"/>
    </row>
    <row r="719" ht="15.75" customHeight="1">
      <c r="B719" s="5"/>
    </row>
    <row r="720" ht="15.75" customHeight="1">
      <c r="B720" s="5"/>
    </row>
    <row r="721" ht="15.75" customHeight="1">
      <c r="B721" s="5"/>
    </row>
    <row r="722" ht="15.75" customHeight="1">
      <c r="B722" s="5"/>
    </row>
    <row r="723" ht="15.75" customHeight="1">
      <c r="B723" s="5"/>
    </row>
    <row r="724" ht="15.75" customHeight="1">
      <c r="B724" s="5"/>
    </row>
    <row r="725" ht="15.75" customHeight="1">
      <c r="B725" s="5"/>
    </row>
    <row r="726" ht="15.75" customHeight="1">
      <c r="B726" s="5"/>
    </row>
    <row r="727" ht="15.75" customHeight="1">
      <c r="B727" s="5"/>
    </row>
    <row r="728" ht="15.75" customHeight="1">
      <c r="B728" s="5"/>
    </row>
    <row r="729" ht="15.75" customHeight="1">
      <c r="B729" s="5"/>
    </row>
    <row r="730" ht="15.75" customHeight="1">
      <c r="B730" s="5"/>
    </row>
    <row r="731" ht="15.75" customHeight="1">
      <c r="B731" s="5"/>
    </row>
    <row r="732" ht="15.75" customHeight="1">
      <c r="B732" s="5"/>
    </row>
    <row r="733" ht="15.75" customHeight="1">
      <c r="B733" s="5"/>
    </row>
    <row r="734" ht="15.75" customHeight="1">
      <c r="B734" s="5"/>
    </row>
    <row r="735" ht="15.75" customHeight="1">
      <c r="B735" s="5"/>
    </row>
    <row r="736" ht="15.75" customHeight="1">
      <c r="B736" s="5"/>
    </row>
    <row r="737" ht="15.75" customHeight="1">
      <c r="B737" s="5"/>
    </row>
    <row r="738" ht="15.75" customHeight="1">
      <c r="B738" s="5"/>
    </row>
    <row r="739" ht="15.75" customHeight="1">
      <c r="B739" s="5"/>
    </row>
    <row r="740" ht="15.75" customHeight="1">
      <c r="B740" s="5"/>
    </row>
    <row r="741" ht="15.75" customHeight="1">
      <c r="B741" s="5"/>
    </row>
    <row r="742" ht="15.75" customHeight="1">
      <c r="B742" s="5"/>
    </row>
    <row r="743" ht="15.75" customHeight="1">
      <c r="B743" s="5"/>
    </row>
    <row r="744" ht="15.75" customHeight="1">
      <c r="B744" s="5"/>
    </row>
    <row r="745" ht="15.75" customHeight="1">
      <c r="B745" s="5"/>
    </row>
    <row r="746" ht="15.75" customHeight="1">
      <c r="B746" s="5"/>
    </row>
    <row r="747" ht="15.75" customHeight="1">
      <c r="B747" s="5"/>
    </row>
    <row r="748" ht="15.75" customHeight="1">
      <c r="B748" s="5"/>
    </row>
    <row r="749" ht="15.75" customHeight="1">
      <c r="B749" s="5"/>
    </row>
    <row r="750" ht="15.75" customHeight="1">
      <c r="B750" s="5"/>
    </row>
    <row r="751" ht="15.75" customHeight="1">
      <c r="B751" s="5"/>
    </row>
    <row r="752" ht="15.75" customHeight="1">
      <c r="B752" s="5"/>
    </row>
    <row r="753" ht="15.75" customHeight="1">
      <c r="B753" s="5"/>
    </row>
    <row r="754" ht="15.75" customHeight="1">
      <c r="B754" s="5"/>
    </row>
    <row r="755" ht="15.75" customHeight="1">
      <c r="B755" s="5"/>
    </row>
    <row r="756" ht="15.75" customHeight="1">
      <c r="B756" s="5"/>
    </row>
    <row r="757" ht="15.75" customHeight="1">
      <c r="B757" s="5"/>
    </row>
    <row r="758" ht="15.75" customHeight="1">
      <c r="B758" s="5"/>
    </row>
    <row r="759" ht="15.75" customHeight="1">
      <c r="B759" s="5"/>
    </row>
    <row r="760" ht="15.75" customHeight="1">
      <c r="B760" s="5"/>
    </row>
    <row r="761" ht="15.75" customHeight="1">
      <c r="B761" s="5"/>
    </row>
    <row r="762" ht="15.75" customHeight="1">
      <c r="B762" s="5"/>
    </row>
    <row r="763" ht="15.75" customHeight="1">
      <c r="B763" s="5"/>
    </row>
    <row r="764" ht="15.75" customHeight="1">
      <c r="B764" s="5"/>
    </row>
    <row r="765" ht="15.75" customHeight="1">
      <c r="B765" s="5"/>
    </row>
    <row r="766" ht="15.75" customHeight="1">
      <c r="B766" s="5"/>
    </row>
    <row r="767" ht="15.75" customHeight="1">
      <c r="B767" s="5"/>
    </row>
    <row r="768" ht="15.75" customHeight="1">
      <c r="B768" s="5"/>
    </row>
    <row r="769" ht="15.75" customHeight="1">
      <c r="B769" s="5"/>
    </row>
    <row r="770" ht="15.75" customHeight="1">
      <c r="B770" s="5"/>
    </row>
    <row r="771" ht="15.75" customHeight="1">
      <c r="B771" s="5"/>
    </row>
    <row r="772" ht="15.75" customHeight="1">
      <c r="B772" s="5"/>
    </row>
    <row r="773" ht="15.75" customHeight="1">
      <c r="B773" s="5"/>
    </row>
    <row r="774" ht="15.75" customHeight="1">
      <c r="B774" s="5"/>
    </row>
    <row r="775" ht="15.75" customHeight="1">
      <c r="B775" s="5"/>
    </row>
    <row r="776" ht="15.75" customHeight="1">
      <c r="B776" s="5"/>
    </row>
    <row r="777" ht="15.75" customHeight="1">
      <c r="B777" s="5"/>
    </row>
    <row r="778" ht="15.75" customHeight="1">
      <c r="B778" s="5"/>
    </row>
    <row r="779" ht="15.75" customHeight="1">
      <c r="B779" s="5"/>
    </row>
    <row r="780" ht="15.75" customHeight="1">
      <c r="B780" s="5"/>
    </row>
    <row r="781" ht="15.75" customHeight="1">
      <c r="B781" s="5"/>
    </row>
    <row r="782" ht="15.75" customHeight="1">
      <c r="B782" s="5"/>
    </row>
    <row r="783" ht="15.75" customHeight="1">
      <c r="B783" s="5"/>
    </row>
    <row r="784" ht="15.75" customHeight="1">
      <c r="B784" s="5"/>
    </row>
    <row r="785" ht="15.75" customHeight="1">
      <c r="B785" s="5"/>
    </row>
    <row r="786" ht="15.75" customHeight="1">
      <c r="B786" s="5"/>
    </row>
    <row r="787" ht="15.75" customHeight="1">
      <c r="B787" s="5"/>
    </row>
    <row r="788" ht="15.75" customHeight="1">
      <c r="B788" s="5"/>
    </row>
    <row r="789" ht="15.75" customHeight="1">
      <c r="B789" s="5"/>
    </row>
    <row r="790" ht="15.75" customHeight="1">
      <c r="B790" s="5"/>
    </row>
    <row r="791" ht="15.75" customHeight="1">
      <c r="B791" s="5"/>
    </row>
    <row r="792" ht="15.75" customHeight="1">
      <c r="B792" s="5"/>
    </row>
    <row r="793" ht="15.75" customHeight="1">
      <c r="B793" s="5"/>
    </row>
    <row r="794" ht="15.75" customHeight="1">
      <c r="B794" s="5"/>
    </row>
    <row r="795" ht="15.75" customHeight="1">
      <c r="B795" s="5"/>
    </row>
    <row r="796" ht="15.75" customHeight="1">
      <c r="B796" s="5"/>
    </row>
    <row r="797" ht="15.75" customHeight="1">
      <c r="B797" s="5"/>
    </row>
    <row r="798" ht="15.75" customHeight="1">
      <c r="B798" s="5"/>
    </row>
    <row r="799" ht="15.75" customHeight="1">
      <c r="B799" s="5"/>
    </row>
    <row r="800" ht="15.75" customHeight="1">
      <c r="B800" s="5"/>
    </row>
    <row r="801" ht="15.75" customHeight="1">
      <c r="B801" s="5"/>
    </row>
    <row r="802" ht="15.75" customHeight="1">
      <c r="B802" s="5"/>
    </row>
    <row r="803" ht="15.75" customHeight="1">
      <c r="B803" s="5"/>
    </row>
    <row r="804" ht="15.75" customHeight="1">
      <c r="B804" s="5"/>
    </row>
    <row r="805" ht="15.75" customHeight="1">
      <c r="B805" s="5"/>
    </row>
    <row r="806" ht="15.75" customHeight="1">
      <c r="B806" s="5"/>
    </row>
    <row r="807" ht="15.75" customHeight="1">
      <c r="B807" s="5"/>
    </row>
    <row r="808" ht="15.75" customHeight="1">
      <c r="B808" s="5"/>
    </row>
    <row r="809" ht="15.75" customHeight="1">
      <c r="B809" s="5"/>
    </row>
    <row r="810" ht="15.75" customHeight="1">
      <c r="B810" s="5"/>
    </row>
    <row r="811" ht="15.75" customHeight="1">
      <c r="B811" s="5"/>
    </row>
    <row r="812" ht="15.75" customHeight="1">
      <c r="B812" s="5"/>
    </row>
    <row r="813" ht="15.75" customHeight="1">
      <c r="B813" s="5"/>
    </row>
    <row r="814" ht="15.75" customHeight="1">
      <c r="B814" s="5"/>
    </row>
    <row r="815" ht="15.75" customHeight="1">
      <c r="B815" s="5"/>
    </row>
    <row r="816" ht="15.75" customHeight="1">
      <c r="B816" s="5"/>
    </row>
    <row r="817" ht="15.75" customHeight="1">
      <c r="B817" s="5"/>
    </row>
    <row r="818" ht="15.75" customHeight="1">
      <c r="B818" s="5"/>
    </row>
    <row r="819" ht="15.75" customHeight="1">
      <c r="B819" s="5"/>
    </row>
    <row r="820" ht="15.75" customHeight="1">
      <c r="B820" s="5"/>
    </row>
    <row r="821" ht="15.75" customHeight="1">
      <c r="B821" s="5"/>
    </row>
    <row r="822" ht="15.75" customHeight="1">
      <c r="B822" s="5"/>
    </row>
    <row r="823" ht="15.75" customHeight="1">
      <c r="B823" s="5"/>
    </row>
    <row r="824" ht="15.75" customHeight="1">
      <c r="B824" s="5"/>
    </row>
    <row r="825" ht="15.75" customHeight="1">
      <c r="B825" s="5"/>
    </row>
    <row r="826" ht="15.75" customHeight="1">
      <c r="B826" s="5"/>
    </row>
    <row r="827" ht="15.75" customHeight="1">
      <c r="B827" s="5"/>
    </row>
    <row r="828" ht="15.75" customHeight="1">
      <c r="B828" s="5"/>
    </row>
    <row r="829" ht="15.75" customHeight="1">
      <c r="B829" s="5"/>
    </row>
    <row r="830" ht="15.75" customHeight="1">
      <c r="B830" s="5"/>
    </row>
    <row r="831" ht="15.75" customHeight="1">
      <c r="B831" s="5"/>
    </row>
    <row r="832" ht="15.75" customHeight="1">
      <c r="B832" s="5"/>
    </row>
    <row r="833" ht="15.75" customHeight="1">
      <c r="B833" s="5"/>
    </row>
    <row r="834" ht="15.75" customHeight="1">
      <c r="B834" s="5"/>
    </row>
    <row r="835" ht="15.75" customHeight="1">
      <c r="B835" s="5"/>
    </row>
    <row r="836" ht="15.75" customHeight="1">
      <c r="B836" s="5"/>
    </row>
    <row r="837" ht="15.75" customHeight="1">
      <c r="B837" s="5"/>
    </row>
    <row r="838" ht="15.75" customHeight="1">
      <c r="B838" s="5"/>
    </row>
    <row r="839" ht="15.75" customHeight="1">
      <c r="B839" s="5"/>
    </row>
    <row r="840" ht="15.75" customHeight="1">
      <c r="B840" s="5"/>
    </row>
    <row r="841" ht="15.75" customHeight="1">
      <c r="B841" s="5"/>
    </row>
    <row r="842" ht="15.75" customHeight="1">
      <c r="B842" s="5"/>
    </row>
    <row r="843" ht="15.75" customHeight="1">
      <c r="B843" s="5"/>
    </row>
    <row r="844" ht="15.75" customHeight="1">
      <c r="B844" s="5"/>
    </row>
    <row r="845" ht="15.75" customHeight="1">
      <c r="B845" s="5"/>
    </row>
    <row r="846" ht="15.75" customHeight="1">
      <c r="B846" s="5"/>
    </row>
    <row r="847" ht="15.75" customHeight="1">
      <c r="B847" s="5"/>
    </row>
    <row r="848" ht="15.75" customHeight="1">
      <c r="B848" s="5"/>
    </row>
    <row r="849" ht="15.75" customHeight="1">
      <c r="B849" s="5"/>
    </row>
    <row r="850" ht="15.75" customHeight="1">
      <c r="B850" s="5"/>
    </row>
    <row r="851" ht="15.75" customHeight="1">
      <c r="B851" s="5"/>
    </row>
    <row r="852" ht="15.75" customHeight="1">
      <c r="B852" s="5"/>
    </row>
    <row r="853" ht="15.75" customHeight="1">
      <c r="B853" s="5"/>
    </row>
    <row r="854" ht="15.75" customHeight="1">
      <c r="B854" s="5"/>
    </row>
    <row r="855" ht="15.75" customHeight="1">
      <c r="B855" s="5"/>
    </row>
    <row r="856" ht="15.75" customHeight="1">
      <c r="B856" s="5"/>
    </row>
    <row r="857" ht="15.75" customHeight="1">
      <c r="B857" s="5"/>
    </row>
    <row r="858" ht="15.75" customHeight="1">
      <c r="B858" s="5"/>
    </row>
    <row r="859" ht="15.75" customHeight="1">
      <c r="B859" s="5"/>
    </row>
    <row r="860" ht="15.75" customHeight="1">
      <c r="B860" s="5"/>
    </row>
    <row r="861" ht="15.75" customHeight="1">
      <c r="B861" s="5"/>
    </row>
    <row r="862" ht="15.75" customHeight="1">
      <c r="B862" s="5"/>
    </row>
    <row r="863" ht="15.75" customHeight="1">
      <c r="B863" s="5"/>
    </row>
    <row r="864" ht="15.75" customHeight="1">
      <c r="B864" s="5"/>
    </row>
    <row r="865" ht="15.75" customHeight="1">
      <c r="B865" s="5"/>
    </row>
    <row r="866" ht="15.75" customHeight="1">
      <c r="B866" s="5"/>
    </row>
    <row r="867" ht="15.75" customHeight="1">
      <c r="B867" s="5"/>
    </row>
    <row r="868" ht="15.75" customHeight="1">
      <c r="B868" s="5"/>
    </row>
    <row r="869" ht="15.75" customHeight="1">
      <c r="B869" s="5"/>
    </row>
    <row r="870" ht="15.75" customHeight="1">
      <c r="B870" s="5"/>
    </row>
    <row r="871" ht="15.75" customHeight="1">
      <c r="B871" s="5"/>
    </row>
    <row r="872" ht="15.75" customHeight="1">
      <c r="B872" s="5"/>
    </row>
    <row r="873" ht="15.75" customHeight="1">
      <c r="B873" s="5"/>
    </row>
    <row r="874" ht="15.75" customHeight="1">
      <c r="B874" s="5"/>
    </row>
    <row r="875" ht="15.75" customHeight="1">
      <c r="B875" s="5"/>
    </row>
    <row r="876" ht="15.75" customHeight="1">
      <c r="B876" s="5"/>
    </row>
    <row r="877" ht="15.75" customHeight="1">
      <c r="B877" s="5"/>
    </row>
    <row r="878" ht="15.75" customHeight="1">
      <c r="B878" s="5"/>
    </row>
    <row r="879" ht="15.75" customHeight="1">
      <c r="B879" s="5"/>
    </row>
    <row r="880" ht="15.75" customHeight="1">
      <c r="B880" s="5"/>
    </row>
    <row r="881" ht="15.75" customHeight="1">
      <c r="B881" s="5"/>
    </row>
    <row r="882" ht="15.75" customHeight="1">
      <c r="B882" s="5"/>
    </row>
    <row r="883" ht="15.75" customHeight="1">
      <c r="B883" s="5"/>
    </row>
    <row r="884" ht="15.75" customHeight="1">
      <c r="B884" s="5"/>
    </row>
    <row r="885" ht="15.75" customHeight="1">
      <c r="B885" s="5"/>
    </row>
    <row r="886" ht="15.75" customHeight="1">
      <c r="B886" s="5"/>
    </row>
    <row r="887" ht="15.75" customHeight="1">
      <c r="B887" s="5"/>
    </row>
    <row r="888" ht="15.75" customHeight="1">
      <c r="B888" s="5"/>
    </row>
    <row r="889" ht="15.75" customHeight="1">
      <c r="B889" s="5"/>
    </row>
    <row r="890" ht="15.75" customHeight="1">
      <c r="B890" s="5"/>
    </row>
    <row r="891" ht="15.75" customHeight="1">
      <c r="B891" s="5"/>
    </row>
    <row r="892" ht="15.75" customHeight="1">
      <c r="B892" s="5"/>
    </row>
    <row r="893" ht="15.75" customHeight="1">
      <c r="B893" s="5"/>
    </row>
    <row r="894" ht="15.75" customHeight="1">
      <c r="B894" s="5"/>
    </row>
    <row r="895" ht="15.75" customHeight="1">
      <c r="B895" s="5"/>
    </row>
    <row r="896" ht="15.75" customHeight="1">
      <c r="B896" s="5"/>
    </row>
    <row r="897" ht="15.75" customHeight="1">
      <c r="B897" s="5"/>
    </row>
    <row r="898" ht="15.75" customHeight="1">
      <c r="B898" s="5"/>
    </row>
    <row r="899" ht="15.75" customHeight="1">
      <c r="B899" s="5"/>
    </row>
    <row r="900" ht="15.75" customHeight="1">
      <c r="B900" s="5"/>
    </row>
    <row r="901" ht="15.75" customHeight="1">
      <c r="B901" s="5"/>
    </row>
    <row r="902" ht="15.75" customHeight="1">
      <c r="B902" s="5"/>
    </row>
    <row r="903" ht="15.75" customHeight="1">
      <c r="B903" s="5"/>
    </row>
    <row r="904" ht="15.75" customHeight="1">
      <c r="B904" s="5"/>
    </row>
    <row r="905" ht="15.75" customHeight="1">
      <c r="B905" s="5"/>
    </row>
    <row r="906" ht="15.75" customHeight="1">
      <c r="B906" s="5"/>
    </row>
    <row r="907" ht="15.75" customHeight="1">
      <c r="B907" s="5"/>
    </row>
    <row r="908" ht="15.75" customHeight="1">
      <c r="B908" s="5"/>
    </row>
    <row r="909" ht="15.75" customHeight="1">
      <c r="B909" s="5"/>
    </row>
    <row r="910" ht="15.75" customHeight="1">
      <c r="B910" s="5"/>
    </row>
    <row r="911" ht="15.75" customHeight="1">
      <c r="B911" s="5"/>
    </row>
    <row r="912" ht="15.75" customHeight="1">
      <c r="B912" s="5"/>
    </row>
    <row r="913" ht="15.75" customHeight="1">
      <c r="B913" s="5"/>
    </row>
    <row r="914" ht="15.75" customHeight="1">
      <c r="B914" s="5"/>
    </row>
    <row r="915" ht="15.75" customHeight="1">
      <c r="B915" s="5"/>
    </row>
    <row r="916" ht="15.75" customHeight="1">
      <c r="B916" s="5"/>
    </row>
    <row r="917" ht="15.75" customHeight="1">
      <c r="B917" s="5"/>
    </row>
    <row r="918" ht="15.75" customHeight="1">
      <c r="B918" s="5"/>
    </row>
    <row r="919" ht="15.75" customHeight="1">
      <c r="B919" s="5"/>
    </row>
    <row r="920" ht="15.75" customHeight="1">
      <c r="B920" s="5"/>
    </row>
    <row r="921" ht="15.75" customHeight="1">
      <c r="B921" s="5"/>
    </row>
    <row r="922" ht="15.75" customHeight="1">
      <c r="B922" s="5"/>
    </row>
    <row r="923" ht="15.75" customHeight="1">
      <c r="B923" s="5"/>
    </row>
    <row r="924" ht="15.75" customHeight="1">
      <c r="B924" s="5"/>
    </row>
    <row r="925" ht="15.75" customHeight="1">
      <c r="B925" s="5"/>
    </row>
    <row r="926" ht="15.75" customHeight="1">
      <c r="B926" s="5"/>
    </row>
    <row r="927" ht="15.75" customHeight="1">
      <c r="B927" s="5"/>
    </row>
    <row r="928" ht="15.75" customHeight="1">
      <c r="B928" s="5"/>
    </row>
    <row r="929" ht="15.75" customHeight="1">
      <c r="B929" s="5"/>
    </row>
    <row r="930" ht="15.75" customHeight="1">
      <c r="B930" s="5"/>
    </row>
    <row r="931" ht="15.75" customHeight="1">
      <c r="B931" s="5"/>
    </row>
    <row r="932" ht="15.75" customHeight="1">
      <c r="B932" s="5"/>
    </row>
    <row r="933" ht="15.75" customHeight="1">
      <c r="B933" s="5"/>
    </row>
    <row r="934" ht="15.75" customHeight="1">
      <c r="B934" s="5"/>
    </row>
    <row r="935" ht="15.75" customHeight="1">
      <c r="B935" s="5"/>
    </row>
    <row r="936" ht="15.75" customHeight="1">
      <c r="B936" s="5"/>
    </row>
    <row r="937" ht="15.75" customHeight="1">
      <c r="B937" s="5"/>
    </row>
    <row r="938" ht="15.75" customHeight="1">
      <c r="B938" s="5"/>
    </row>
    <row r="939" ht="15.75" customHeight="1">
      <c r="B939" s="5"/>
    </row>
    <row r="940" ht="15.75" customHeight="1">
      <c r="B940" s="5"/>
    </row>
    <row r="941" ht="15.75" customHeight="1">
      <c r="B941" s="5"/>
    </row>
    <row r="942" ht="15.75" customHeight="1">
      <c r="B942" s="5"/>
    </row>
    <row r="943" ht="15.75" customHeight="1">
      <c r="B943" s="5"/>
    </row>
    <row r="944" ht="15.75" customHeight="1">
      <c r="B944" s="5"/>
    </row>
    <row r="945" ht="15.75" customHeight="1">
      <c r="B945" s="5"/>
    </row>
    <row r="946" ht="15.75" customHeight="1">
      <c r="B946" s="5"/>
    </row>
    <row r="947" ht="15.75" customHeight="1">
      <c r="B947" s="5"/>
    </row>
    <row r="948" ht="15.75" customHeight="1">
      <c r="B948" s="5"/>
    </row>
    <row r="949" ht="15.75" customHeight="1">
      <c r="B949" s="5"/>
    </row>
    <row r="950" ht="15.75" customHeight="1">
      <c r="B950" s="5"/>
    </row>
    <row r="951" ht="15.75" customHeight="1">
      <c r="B951" s="5"/>
    </row>
    <row r="952" ht="15.75" customHeight="1">
      <c r="B952" s="5"/>
    </row>
    <row r="953" ht="15.75" customHeight="1">
      <c r="B953" s="5"/>
    </row>
    <row r="954" ht="15.75" customHeight="1">
      <c r="B954" s="5"/>
    </row>
    <row r="955" ht="15.75" customHeight="1">
      <c r="B955" s="5"/>
    </row>
    <row r="956" ht="15.75" customHeight="1">
      <c r="B956" s="5"/>
    </row>
    <row r="957" ht="15.75" customHeight="1">
      <c r="B957" s="5"/>
    </row>
    <row r="958" ht="15.75" customHeight="1">
      <c r="B958" s="5"/>
    </row>
    <row r="959" ht="15.75" customHeight="1">
      <c r="B959" s="5"/>
    </row>
    <row r="960" ht="15.75" customHeight="1">
      <c r="B960" s="5"/>
    </row>
    <row r="961" ht="15.75" customHeight="1">
      <c r="B961" s="5"/>
    </row>
    <row r="962" ht="15.75" customHeight="1">
      <c r="B962" s="5"/>
    </row>
    <row r="963" ht="15.75" customHeight="1">
      <c r="B963" s="5"/>
    </row>
    <row r="964" ht="15.75" customHeight="1">
      <c r="B964" s="5"/>
    </row>
    <row r="965" ht="15.75" customHeight="1">
      <c r="B965" s="5"/>
    </row>
    <row r="966" ht="15.75" customHeight="1">
      <c r="B966" s="5"/>
    </row>
    <row r="967" ht="15.75" customHeight="1">
      <c r="B967" s="5"/>
    </row>
    <row r="968" ht="15.75" customHeight="1">
      <c r="B968" s="5"/>
    </row>
    <row r="969" ht="15.75" customHeight="1">
      <c r="B969" s="5"/>
    </row>
    <row r="970" ht="15.75" customHeight="1">
      <c r="B970" s="5"/>
    </row>
    <row r="971" ht="15.75" customHeight="1">
      <c r="B971" s="5"/>
    </row>
    <row r="972" ht="15.75" customHeight="1">
      <c r="B972" s="5"/>
    </row>
    <row r="973" ht="15.75" customHeight="1">
      <c r="B973" s="5"/>
    </row>
    <row r="974" ht="15.75" customHeight="1">
      <c r="B974" s="5"/>
    </row>
    <row r="975" ht="15.75" customHeight="1">
      <c r="B975" s="5"/>
    </row>
    <row r="976" ht="15.75" customHeight="1">
      <c r="B976" s="5"/>
    </row>
    <row r="977" ht="15.75" customHeight="1">
      <c r="B977" s="5"/>
    </row>
    <row r="978" ht="15.75" customHeight="1">
      <c r="B978" s="5"/>
    </row>
    <row r="979" ht="15.75" customHeight="1">
      <c r="B979" s="5"/>
    </row>
    <row r="980" ht="15.75" customHeight="1">
      <c r="B980" s="5"/>
    </row>
    <row r="981" ht="15.75" customHeight="1">
      <c r="B981" s="5"/>
    </row>
    <row r="982" ht="15.75" customHeight="1">
      <c r="B982" s="5"/>
    </row>
    <row r="983" ht="15.75" customHeight="1">
      <c r="B983" s="5"/>
    </row>
    <row r="984" ht="15.75" customHeight="1">
      <c r="B984" s="5"/>
    </row>
    <row r="985" ht="15.75" customHeight="1">
      <c r="B985" s="5"/>
    </row>
    <row r="986" ht="15.75" customHeight="1">
      <c r="B986" s="5"/>
    </row>
    <row r="987" ht="15.75" customHeight="1">
      <c r="B987" s="5"/>
    </row>
    <row r="988" ht="15.75" customHeight="1">
      <c r="B988" s="5"/>
    </row>
    <row r="989" ht="15.75" customHeight="1">
      <c r="B989" s="5"/>
    </row>
    <row r="990" ht="15.75" customHeight="1">
      <c r="B990" s="5"/>
    </row>
    <row r="991" ht="15.75" customHeight="1">
      <c r="B991" s="5"/>
    </row>
    <row r="992" ht="15.75" customHeight="1">
      <c r="B992" s="5"/>
    </row>
    <row r="993" ht="15.75" customHeight="1">
      <c r="B993" s="5"/>
    </row>
    <row r="994" ht="15.75" customHeight="1">
      <c r="B994" s="5"/>
    </row>
    <row r="995" ht="15.75" customHeight="1">
      <c r="B995" s="5"/>
    </row>
    <row r="996" ht="15.75" customHeight="1">
      <c r="B996" s="5"/>
    </row>
    <row r="997" ht="15.75" customHeight="1">
      <c r="B997" s="5"/>
    </row>
    <row r="998" ht="15.75" customHeight="1">
      <c r="B998" s="5"/>
    </row>
    <row r="999" ht="15.75" customHeight="1">
      <c r="B999" s="5"/>
    </row>
    <row r="1000" ht="15.75" customHeight="1">
      <c r="B1000" s="5"/>
    </row>
  </sheetData>
  <autoFilter ref="$A$1:$CZ$64">
    <filterColumn colId="12">
      <customFilters>
        <customFilter operator="greaterThanOrEqual" val="2021"/>
      </customFilters>
    </filterColumn>
    <sortState ref="A1:CZ64">
      <sortCondition ref="A1:A64"/>
    </sortState>
  </autoFilter>
  <printOptions/>
  <pageMargins bottom="1.0" footer="0.0" header="0.0" left="0.75" right="0.75" top="1.0"/>
  <pageSetup orientation="landscape"/>
  <drawing r:id="rId1"/>
</worksheet>
</file>